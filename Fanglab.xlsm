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Fanglab\"/>
    </mc:Choice>
  </mc:AlternateContent>
  <xr:revisionPtr revIDLastSave="0" documentId="13_ncr:1_{27DF95FF-DE72-4D45-B4F0-E414FBA91A09}" xr6:coauthVersionLast="47" xr6:coauthVersionMax="47" xr10:uidLastSave="{00000000-0000-0000-0000-000000000000}"/>
  <bookViews>
    <workbookView xWindow="4035" yWindow="555" windowWidth="28500" windowHeight="20955" xr2:uid="{00000000-000D-0000-FFFF-FFFF00000000}"/>
  </bookViews>
  <sheets>
    <sheet name="檢量線" sheetId="3" r:id="rId1"/>
  </sheets>
  <definedNames>
    <definedName name="_xlnm.Print_Area" localSheetId="0">檢量線!$A:$L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6" i="3" l="1"/>
  <c r="D166" i="3"/>
  <c r="E166" i="3"/>
  <c r="B167" i="3"/>
  <c r="D167" i="3"/>
  <c r="E167" i="3"/>
  <c r="B168" i="3"/>
  <c r="D168" i="3"/>
  <c r="E168" i="3"/>
  <c r="B169" i="3"/>
  <c r="D169" i="3"/>
  <c r="E169" i="3"/>
  <c r="B170" i="3"/>
  <c r="D170" i="3"/>
  <c r="E170" i="3"/>
  <c r="B171" i="3"/>
  <c r="D171" i="3"/>
  <c r="E171" i="3"/>
  <c r="B172" i="3"/>
  <c r="D172" i="3"/>
  <c r="E172" i="3"/>
  <c r="B173" i="3"/>
  <c r="D173" i="3"/>
  <c r="E173" i="3"/>
  <c r="B174" i="3"/>
  <c r="D174" i="3"/>
  <c r="E174" i="3"/>
  <c r="B175" i="3"/>
  <c r="D175" i="3"/>
  <c r="E175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H201" i="3"/>
  <c r="H202" i="3"/>
  <c r="H203" i="3"/>
  <c r="H204" i="3"/>
  <c r="H205" i="3"/>
  <c r="H206" i="3"/>
  <c r="H207" i="3"/>
  <c r="H208" i="3"/>
  <c r="H209" i="3"/>
  <c r="H210" i="3"/>
  <c r="E215" i="3"/>
  <c r="F215" i="3"/>
  <c r="H215" i="3"/>
  <c r="E216" i="3"/>
  <c r="F216" i="3"/>
  <c r="H216" i="3"/>
  <c r="E217" i="3"/>
  <c r="F217" i="3"/>
  <c r="H217" i="3"/>
  <c r="E218" i="3"/>
  <c r="F218" i="3"/>
  <c r="H218" i="3"/>
  <c r="E219" i="3"/>
  <c r="F219" i="3"/>
  <c r="H219" i="3"/>
  <c r="E220" i="3"/>
  <c r="F220" i="3"/>
  <c r="H220" i="3"/>
  <c r="E221" i="3"/>
  <c r="F221" i="3"/>
  <c r="H221" i="3"/>
  <c r="E222" i="3"/>
  <c r="F222" i="3"/>
  <c r="H222" i="3"/>
  <c r="E223" i="3"/>
  <c r="F223" i="3"/>
  <c r="H223" i="3"/>
  <c r="E224" i="3"/>
  <c r="F224" i="3"/>
  <c r="H224" i="3"/>
  <c r="E229" i="3"/>
  <c r="F229" i="3"/>
  <c r="J229" i="3"/>
  <c r="K229" i="3"/>
  <c r="L229" i="3"/>
  <c r="E230" i="3"/>
  <c r="F230" i="3"/>
  <c r="J230" i="3"/>
  <c r="K230" i="3"/>
  <c r="L230" i="3"/>
  <c r="E231" i="3"/>
  <c r="F231" i="3"/>
  <c r="J231" i="3"/>
  <c r="K231" i="3"/>
  <c r="L231" i="3"/>
  <c r="E232" i="3"/>
  <c r="F232" i="3"/>
  <c r="J232" i="3"/>
  <c r="K232" i="3"/>
  <c r="L232" i="3"/>
  <c r="E233" i="3"/>
  <c r="F233" i="3"/>
  <c r="J233" i="3"/>
  <c r="K233" i="3"/>
  <c r="L233" i="3"/>
  <c r="E234" i="3"/>
  <c r="F234" i="3"/>
  <c r="J234" i="3"/>
  <c r="K234" i="3"/>
  <c r="L234" i="3"/>
  <c r="E235" i="3"/>
  <c r="F235" i="3"/>
  <c r="J235" i="3"/>
  <c r="K235" i="3"/>
  <c r="L235" i="3"/>
  <c r="E236" i="3"/>
  <c r="F236" i="3"/>
  <c r="J236" i="3"/>
  <c r="K236" i="3"/>
  <c r="L236" i="3"/>
  <c r="E237" i="3"/>
  <c r="F237" i="3"/>
  <c r="J237" i="3"/>
  <c r="K237" i="3"/>
  <c r="L237" i="3"/>
  <c r="E238" i="3"/>
  <c r="F238" i="3"/>
  <c r="J238" i="3"/>
  <c r="K238" i="3"/>
  <c r="L238" i="3"/>
  <c r="B438" i="3"/>
  <c r="D438" i="3"/>
  <c r="E438" i="3"/>
  <c r="B439" i="3"/>
  <c r="D439" i="3"/>
  <c r="E439" i="3"/>
  <c r="B440" i="3"/>
  <c r="D440" i="3"/>
  <c r="E440" i="3"/>
  <c r="B441" i="3"/>
  <c r="D441" i="3"/>
  <c r="E441" i="3"/>
  <c r="B442" i="3"/>
  <c r="D442" i="3"/>
  <c r="E442" i="3"/>
  <c r="B443" i="3"/>
  <c r="D443" i="3"/>
  <c r="E443" i="3"/>
  <c r="B444" i="3"/>
  <c r="D444" i="3"/>
  <c r="E444" i="3"/>
  <c r="B445" i="3"/>
  <c r="D445" i="3"/>
  <c r="E445" i="3"/>
  <c r="B446" i="3"/>
  <c r="D446" i="3"/>
  <c r="E446" i="3"/>
  <c r="B447" i="3"/>
  <c r="D447" i="3"/>
  <c r="E447" i="3"/>
  <c r="B448" i="3"/>
  <c r="D448" i="3"/>
  <c r="E448" i="3"/>
  <c r="B449" i="3"/>
  <c r="D449" i="3"/>
  <c r="E449" i="3"/>
  <c r="B451" i="3"/>
  <c r="D451" i="3"/>
  <c r="E451" i="3"/>
  <c r="B452" i="3"/>
  <c r="D452" i="3"/>
  <c r="E452" i="3"/>
  <c r="B453" i="3"/>
  <c r="D453" i="3"/>
  <c r="E453" i="3"/>
  <c r="B454" i="3"/>
  <c r="D454" i="3"/>
  <c r="E454" i="3"/>
  <c r="B455" i="3"/>
  <c r="D455" i="3"/>
  <c r="E455" i="3"/>
  <c r="B456" i="3"/>
  <c r="D456" i="3"/>
  <c r="E456" i="3"/>
  <c r="B457" i="3"/>
  <c r="D457" i="3"/>
  <c r="E457" i="3"/>
  <c r="B458" i="3"/>
  <c r="D458" i="3"/>
  <c r="E458" i="3"/>
  <c r="B459" i="3"/>
  <c r="D459" i="3"/>
  <c r="E459" i="3"/>
  <c r="B460" i="3"/>
  <c r="D460" i="3"/>
  <c r="E460" i="3"/>
  <c r="B461" i="3"/>
  <c r="D461" i="3"/>
  <c r="E461" i="3"/>
  <c r="B462" i="3"/>
  <c r="D462" i="3"/>
  <c r="E462" i="3"/>
  <c r="B464" i="3"/>
  <c r="D464" i="3"/>
  <c r="E464" i="3"/>
  <c r="B465" i="3"/>
  <c r="D465" i="3"/>
  <c r="E465" i="3"/>
  <c r="B466" i="3"/>
  <c r="D466" i="3"/>
  <c r="E466" i="3"/>
  <c r="B467" i="3"/>
  <c r="D467" i="3"/>
  <c r="E467" i="3"/>
  <c r="B468" i="3"/>
  <c r="D468" i="3"/>
  <c r="E468" i="3"/>
  <c r="B469" i="3"/>
  <c r="D469" i="3"/>
  <c r="E469" i="3"/>
  <c r="B470" i="3"/>
  <c r="D470" i="3"/>
  <c r="E470" i="3"/>
  <c r="B471" i="3"/>
  <c r="D471" i="3"/>
  <c r="E471" i="3"/>
  <c r="B472" i="3"/>
  <c r="D472" i="3"/>
  <c r="E472" i="3"/>
  <c r="B473" i="3"/>
  <c r="D473" i="3"/>
  <c r="E473" i="3"/>
  <c r="B474" i="3"/>
  <c r="D474" i="3"/>
  <c r="E474" i="3"/>
  <c r="B475" i="3"/>
  <c r="D475" i="3"/>
  <c r="E475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E495" i="3"/>
  <c r="F495" i="3"/>
  <c r="H495" i="3"/>
  <c r="E496" i="3"/>
  <c r="F496" i="3"/>
  <c r="H496" i="3"/>
  <c r="E497" i="3"/>
  <c r="F497" i="3"/>
  <c r="H497" i="3"/>
  <c r="E498" i="3"/>
  <c r="F498" i="3"/>
  <c r="H498" i="3"/>
  <c r="E499" i="3"/>
  <c r="F499" i="3"/>
  <c r="H499" i="3"/>
  <c r="E500" i="3"/>
  <c r="F500" i="3"/>
  <c r="H500" i="3"/>
  <c r="E501" i="3"/>
  <c r="F501" i="3"/>
  <c r="H501" i="3"/>
  <c r="E502" i="3"/>
  <c r="F502" i="3"/>
  <c r="H502" i="3"/>
  <c r="E503" i="3"/>
  <c r="F503" i="3"/>
  <c r="H503" i="3"/>
  <c r="E504" i="3"/>
  <c r="F504" i="3"/>
  <c r="H504" i="3"/>
  <c r="E505" i="3"/>
  <c r="F505" i="3"/>
  <c r="H505" i="3"/>
  <c r="E506" i="3"/>
  <c r="F506" i="3"/>
  <c r="H506" i="3"/>
  <c r="E511" i="3"/>
  <c r="F511" i="3"/>
  <c r="J511" i="3"/>
  <c r="K511" i="3"/>
  <c r="L511" i="3"/>
  <c r="E512" i="3"/>
  <c r="F512" i="3"/>
  <c r="J512" i="3"/>
  <c r="K512" i="3"/>
  <c r="L512" i="3"/>
  <c r="E513" i="3"/>
  <c r="F513" i="3"/>
  <c r="J513" i="3"/>
  <c r="K513" i="3"/>
  <c r="L513" i="3"/>
  <c r="E514" i="3"/>
  <c r="F514" i="3"/>
  <c r="J514" i="3"/>
  <c r="K514" i="3"/>
  <c r="L514" i="3"/>
  <c r="E515" i="3"/>
  <c r="F515" i="3"/>
  <c r="J515" i="3"/>
  <c r="K515" i="3"/>
  <c r="L515" i="3"/>
  <c r="E516" i="3"/>
  <c r="F516" i="3"/>
  <c r="J516" i="3"/>
  <c r="K516" i="3"/>
  <c r="L516" i="3"/>
  <c r="E517" i="3"/>
  <c r="F517" i="3"/>
  <c r="J517" i="3"/>
  <c r="K517" i="3"/>
  <c r="L517" i="3"/>
  <c r="E518" i="3"/>
  <c r="F518" i="3"/>
  <c r="J518" i="3"/>
  <c r="K518" i="3"/>
  <c r="L518" i="3"/>
  <c r="E519" i="3"/>
  <c r="F519" i="3"/>
  <c r="J519" i="3"/>
  <c r="K519" i="3"/>
  <c r="L519" i="3"/>
  <c r="E520" i="3"/>
  <c r="F520" i="3"/>
  <c r="J520" i="3"/>
  <c r="K520" i="3"/>
  <c r="L520" i="3"/>
  <c r="E521" i="3"/>
  <c r="F521" i="3"/>
  <c r="J521" i="3"/>
  <c r="K521" i="3"/>
  <c r="L521" i="3"/>
  <c r="E522" i="3"/>
  <c r="F522" i="3"/>
  <c r="J522" i="3"/>
  <c r="K522" i="3"/>
  <c r="L522" i="3"/>
  <c r="C543" i="3"/>
  <c r="D543" i="3"/>
  <c r="E543" i="3"/>
  <c r="C544" i="3"/>
  <c r="D544" i="3"/>
  <c r="E544" i="3"/>
  <c r="C545" i="3"/>
  <c r="D545" i="3"/>
  <c r="E545" i="3"/>
  <c r="C546" i="3"/>
  <c r="D546" i="3"/>
  <c r="E546" i="3"/>
  <c r="C556" i="3"/>
  <c r="D556" i="3"/>
  <c r="E556" i="3"/>
  <c r="C557" i="3"/>
  <c r="D557" i="3"/>
  <c r="E557" i="3"/>
  <c r="C558" i="3"/>
  <c r="D558" i="3"/>
  <c r="E558" i="3"/>
  <c r="C573" i="3"/>
  <c r="D573" i="3"/>
  <c r="E573" i="3"/>
  <c r="C574" i="3"/>
  <c r="D574" i="3"/>
  <c r="E574" i="3"/>
  <c r="C575" i="3"/>
  <c r="D575" i="3"/>
  <c r="E575" i="3"/>
  <c r="C576" i="3"/>
  <c r="D576" i="3"/>
  <c r="E576" i="3"/>
  <c r="C586" i="3"/>
  <c r="D586" i="3"/>
  <c r="E586" i="3"/>
  <c r="C587" i="3"/>
  <c r="D587" i="3"/>
  <c r="E587" i="3"/>
  <c r="C588" i="3"/>
  <c r="D588" i="3"/>
  <c r="E588" i="3"/>
  <c r="B596" i="3"/>
  <c r="D596" i="3"/>
  <c r="E596" i="3"/>
  <c r="B597" i="3"/>
  <c r="D597" i="3"/>
  <c r="E597" i="3"/>
  <c r="B598" i="3"/>
  <c r="D598" i="3"/>
  <c r="E598" i="3"/>
  <c r="B599" i="3"/>
  <c r="D599" i="3"/>
  <c r="E599" i="3"/>
  <c r="B601" i="3"/>
  <c r="D601" i="3"/>
  <c r="E601" i="3"/>
  <c r="B602" i="3"/>
  <c r="D602" i="3"/>
  <c r="E602" i="3"/>
  <c r="B603" i="3"/>
  <c r="D603" i="3"/>
  <c r="E603" i="3"/>
  <c r="B604" i="3"/>
  <c r="D604" i="3"/>
  <c r="E604" i="3"/>
  <c r="E616" i="3"/>
  <c r="F616" i="3"/>
  <c r="H616" i="3"/>
  <c r="E617" i="3"/>
  <c r="F617" i="3"/>
  <c r="H617" i="3"/>
  <c r="E618" i="3"/>
  <c r="F618" i="3"/>
  <c r="H618" i="3"/>
  <c r="E619" i="3"/>
  <c r="F619" i="3"/>
  <c r="H619" i="3"/>
  <c r="E624" i="3"/>
  <c r="F624" i="3"/>
  <c r="J624" i="3"/>
  <c r="K624" i="3"/>
  <c r="L624" i="3"/>
  <c r="E625" i="3"/>
  <c r="F625" i="3"/>
  <c r="J625" i="3"/>
  <c r="K625" i="3"/>
  <c r="L625" i="3"/>
  <c r="E626" i="3"/>
  <c r="F626" i="3"/>
  <c r="J626" i="3"/>
  <c r="K626" i="3"/>
  <c r="L626" i="3"/>
  <c r="E627" i="3"/>
  <c r="F627" i="3"/>
  <c r="J627" i="3"/>
  <c r="K627" i="3"/>
  <c r="L627" i="3"/>
  <c r="D633" i="3"/>
  <c r="E633" i="3"/>
  <c r="F633" i="3"/>
  <c r="D634" i="3"/>
  <c r="E634" i="3"/>
  <c r="F634" i="3"/>
  <c r="D635" i="3"/>
  <c r="E635" i="3"/>
  <c r="F635" i="3"/>
  <c r="D640" i="3"/>
  <c r="E640" i="3"/>
  <c r="F640" i="3"/>
  <c r="D641" i="3"/>
  <c r="E641" i="3"/>
  <c r="F641" i="3"/>
  <c r="D642" i="3"/>
  <c r="E642" i="3"/>
  <c r="F642" i="3"/>
  <c r="D647" i="3"/>
  <c r="E647" i="3"/>
  <c r="F647" i="3"/>
  <c r="D648" i="3"/>
  <c r="E648" i="3"/>
  <c r="F648" i="3"/>
  <c r="D649" i="3"/>
  <c r="E649" i="3"/>
  <c r="F649" i="3"/>
  <c r="D654" i="3"/>
  <c r="E654" i="3"/>
  <c r="F654" i="3"/>
</calcChain>
</file>

<file path=xl/sharedStrings.xml><?xml version="1.0" encoding="utf-8"?>
<sst xmlns="http://schemas.openxmlformats.org/spreadsheetml/2006/main" count="940" uniqueCount="146">
  <si>
    <t>STD1</t>
  </si>
  <si>
    <t>STD2</t>
  </si>
  <si>
    <t>STD3</t>
  </si>
  <si>
    <t>STD4</t>
  </si>
  <si>
    <t>STD5</t>
  </si>
  <si>
    <t>濃度(ng/mL)</t>
  </si>
  <si>
    <t>Ana Peak</t>
  </si>
  <si>
    <t>y=ax+b</t>
  </si>
  <si>
    <t>相關系數r=</t>
  </si>
  <si>
    <t>斜率(a)=</t>
  </si>
  <si>
    <t>截距(b)=</t>
  </si>
  <si>
    <t>檢量線確認標準品ICV</t>
  </si>
  <si>
    <t>標準品濃度(ng/mL)</t>
  </si>
  <si>
    <t>波峰面積</t>
  </si>
  <si>
    <t>分析濃度(ng/mL)</t>
  </si>
  <si>
    <t>相對誤差</t>
  </si>
  <si>
    <t>檢量線查核標準品CCV1</t>
  </si>
  <si>
    <t>檢量線查核標準品CCV2</t>
  </si>
  <si>
    <t>標準品品項</t>
  </si>
  <si>
    <t>檢體名稱</t>
  </si>
  <si>
    <t>取樣重量</t>
  </si>
  <si>
    <t>定容量</t>
  </si>
  <si>
    <t>分析濃度ng/mL</t>
  </si>
  <si>
    <t>檢體濃度ppm</t>
  </si>
  <si>
    <t>未檢出</t>
  </si>
  <si>
    <t>取樣重量g</t>
  </si>
  <si>
    <t>定容量mL</t>
  </si>
  <si>
    <t>檢體濃度(ppm)</t>
  </si>
  <si>
    <t>添加濃度(ppm)</t>
  </si>
  <si>
    <t>回收率%</t>
  </si>
  <si>
    <t>一、品管檢量線製作：</t>
  </si>
  <si>
    <t>1.Acetamiprid</t>
  </si>
  <si>
    <t>STD6</t>
  </si>
  <si>
    <t>STD7</t>
  </si>
  <si>
    <t>y = 1481.334322 x+ 1110.176937</t>
  </si>
  <si>
    <t>2.Azoxystrobin</t>
  </si>
  <si>
    <t>y = 12549.262462 x+ -1762.813185</t>
  </si>
  <si>
    <t>3.Carbendazim</t>
  </si>
  <si>
    <t>y = 4567.841703 x+ 1620.268076</t>
  </si>
  <si>
    <t>4.Dimethomorph</t>
  </si>
  <si>
    <t>y = 1348.728371 x+ -493.343089</t>
  </si>
  <si>
    <t>5.Pencycuron</t>
  </si>
  <si>
    <t>y = 668.271906 x+ 50.845115</t>
  </si>
  <si>
    <t>6.Pyraclostrobin</t>
  </si>
  <si>
    <t>y = 7462.804090 x+ -156.205215</t>
  </si>
  <si>
    <t>7.Tolfenpyrad</t>
  </si>
  <si>
    <t>y = 497.313103 x+ -51.523329</t>
  </si>
  <si>
    <t>8.Fipronil</t>
  </si>
  <si>
    <t>y = 1241.670813 x+ 1243.769512</t>
  </si>
  <si>
    <t>9.Flubendiamide</t>
  </si>
  <si>
    <t>y = 1151.326333 x+ 1441.164262</t>
  </si>
  <si>
    <t>10.Lufenuron</t>
  </si>
  <si>
    <t>y = 98.996707 x+ 68.326117</t>
  </si>
  <si>
    <t>二、品管檢量線確認及查核：</t>
  </si>
  <si>
    <t>Acetamiprid</t>
  </si>
  <si>
    <t>Azoxystrobin</t>
  </si>
  <si>
    <t>Carbendazim</t>
  </si>
  <si>
    <t>Dimethomorph</t>
  </si>
  <si>
    <t>Pencycuron</t>
  </si>
  <si>
    <t>Pyraclostrobin</t>
  </si>
  <si>
    <t>Tolfenpyrad</t>
  </si>
  <si>
    <t>Fipronil</t>
  </si>
  <si>
    <t>Flubendiamide</t>
  </si>
  <si>
    <t>Lufenuron</t>
  </si>
  <si>
    <t>三、品管空白樣品分析：</t>
  </si>
  <si>
    <t>LOQppm</t>
  </si>
  <si>
    <t>BKBKBK</t>
  </si>
  <si>
    <t>N.D.</t>
  </si>
  <si>
    <t>備註：檢驗結果為「未檢出」時，以N.D.表示。</t>
  </si>
  <si>
    <t>四、品管查核樣品分析：</t>
  </si>
  <si>
    <t>分析物 SPK1</t>
  </si>
  <si>
    <t>五、品管查核樣品重覆試驗：</t>
  </si>
  <si>
    <t>查核樣品 SPIKE 1</t>
  </si>
  <si>
    <t>查核樣品重複 Duplicate 1</t>
  </si>
  <si>
    <t>相對差異百分比(R)</t>
  </si>
  <si>
    <t>一、檢出檢量線製作：</t>
  </si>
  <si>
    <t>1.3-keto Carbofuran</t>
  </si>
  <si>
    <t>y = 502.302777 x+ 2.752167</t>
  </si>
  <si>
    <t>2.3-OH Carbofuran</t>
  </si>
  <si>
    <t>y = 359.558784 x+ -100.102655</t>
  </si>
  <si>
    <t>3.Acetamiprid</t>
  </si>
  <si>
    <t>4.Boscalid</t>
  </si>
  <si>
    <t>y = 113.721358 x+ -58.853357</t>
  </si>
  <si>
    <t>5.Carbofuran</t>
  </si>
  <si>
    <t>y = 891.646009 x+ -148.572853</t>
  </si>
  <si>
    <t>6.Chlorantraniliprole</t>
  </si>
  <si>
    <t>y = 761.548866 x+ -408.747715</t>
  </si>
  <si>
    <t>7.Clothianidin</t>
  </si>
  <si>
    <t>y = 478.215487 x+ 36.307439</t>
  </si>
  <si>
    <t>8.Dimethomorph</t>
  </si>
  <si>
    <t>9.Imidacloprid</t>
  </si>
  <si>
    <t>y = 495.015756 x+ 434.788942</t>
  </si>
  <si>
    <t>10.Methomyl</t>
  </si>
  <si>
    <t>y = 1318.414851 x+ 834.521765</t>
  </si>
  <si>
    <t>11.Propamocarb hydrochloride</t>
  </si>
  <si>
    <t>y = 2537.412320 x+ -180.510755</t>
  </si>
  <si>
    <t>12.Thiamethoxam</t>
  </si>
  <si>
    <t>y = 2056.612862 x+ 95.671161</t>
  </si>
  <si>
    <t>二、檢出檢量線確認及查核：</t>
  </si>
  <si>
    <t>3-keto Carbofuran</t>
  </si>
  <si>
    <t>3-OH Carbofuran</t>
  </si>
  <si>
    <t>Boscalid</t>
  </si>
  <si>
    <t>Carbofuran</t>
  </si>
  <si>
    <t>Chlorantraniliprole</t>
  </si>
  <si>
    <t>Clothianidin</t>
  </si>
  <si>
    <t>Imidacloprid</t>
  </si>
  <si>
    <t>Methomyl</t>
  </si>
  <si>
    <t>Propamocarb hydrochloride</t>
  </si>
  <si>
    <t>Thiamethoxam</t>
  </si>
  <si>
    <t>三、檢出空白樣品分析：</t>
  </si>
  <si>
    <t>四、檢出查核樣品分析：</t>
  </si>
  <si>
    <t>五、檢出查核樣品重覆試驗：</t>
  </si>
  <si>
    <t>六、檢出檢體檢驗結果：</t>
  </si>
  <si>
    <t>20240807_T1_K113F00947-001</t>
  </si>
  <si>
    <t>TTTT1</t>
  </si>
  <si>
    <t>g</t>
  </si>
  <si>
    <t>mL</t>
  </si>
  <si>
    <t>檢出細項</t>
  </si>
  <si>
    <t>LOQ(ppm)</t>
  </si>
  <si>
    <t>容許量(ppm)</t>
  </si>
  <si>
    <t>20240807_T1_K113F00947-001_re</t>
  </si>
  <si>
    <t>20240807_T1_K113F00947-005</t>
  </si>
  <si>
    <t>20240807_T1_K113F00947-006</t>
  </si>
  <si>
    <t>20240807_T1_K113F00947-011</t>
  </si>
  <si>
    <t>20240807_T1_K113F00947-012</t>
  </si>
  <si>
    <t>20240807_T1_K113F00947-013</t>
  </si>
  <si>
    <t>20240807_T1_K113F00947-014</t>
  </si>
  <si>
    <t>20240807_T1_K113F00947-015</t>
  </si>
  <si>
    <t>20240807_T1_K113F00947-018</t>
  </si>
  <si>
    <t>20240807_T1_K113F00947-020</t>
  </si>
  <si>
    <t>編號：</t>
  </si>
  <si>
    <t>檢驗員：</t>
  </si>
  <si>
    <t>驗算員：</t>
  </si>
  <si>
    <t>實驗室負責人：</t>
  </si>
  <si>
    <t>七、稀釋檢量線確認及查核：</t>
  </si>
  <si>
    <t>檢量線查核標準品 20240807_T1_CCV3</t>
  </si>
  <si>
    <t>檢量線查核標準品 20240807_T1_CCV4</t>
  </si>
  <si>
    <t>八、稀釋空白樣品分析：</t>
  </si>
  <si>
    <t>九、稀釋查核樣品分析：</t>
  </si>
  <si>
    <t>20240807_T1_K113F00947-006_2X</t>
  </si>
  <si>
    <t>稀釋倍數</t>
  </si>
  <si>
    <t>20240807_T1_K113F00947-006_5X</t>
  </si>
  <si>
    <t>20240807_T1_K113F00947-006_10X</t>
  </si>
  <si>
    <t>20240807_T1_K113F00947-020_2X</t>
  </si>
  <si>
    <t>十、稀釋查核樣品重複分析：</t>
    <phoneticPr fontId="1" type="noConversion"/>
  </si>
  <si>
    <t>十一、稀釋檢體檢驗結果：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</si>
</sst>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92CD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1.Acetamiprid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檢量線!$B$3:$H$3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檢量線!$B$4:$H$4</c:f>
              <c:numCache>
                <c:formatCode>General</c:formatCode>
                <c:ptCount val="7"/>
                <c:pt idx="0">
                  <c:v>723.09400000000005</c:v>
                </c:pt>
                <c:pt idx="1">
                  <c:v>3318.538</c:v>
                </c:pt>
                <c:pt idx="2">
                  <c:v>6798.1170000000002</c:v>
                </c:pt>
                <c:pt idx="3">
                  <c:v>16457.328000000001</c:v>
                </c:pt>
                <c:pt idx="4">
                  <c:v>47257.137000000002</c:v>
                </c:pt>
                <c:pt idx="5">
                  <c:v>76248.312999999995</c:v>
                </c:pt>
                <c:pt idx="6">
                  <c:v>118276.086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85-4CA5-A37F-ACD1B9F65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95208"/>
        <c:axId val="365195928"/>
      </c:scatterChart>
      <c:valAx>
        <c:axId val="365195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5195928"/>
        <c:crosses val="autoZero"/>
        <c:crossBetween val="midCat"/>
      </c:valAx>
      <c:valAx>
        <c:axId val="36519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519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2.Azoxystrobin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檢量線!$B$19:$H$19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檢量線!$B$20:$H$20</c:f>
              <c:numCache>
                <c:formatCode>General</c:formatCode>
                <c:ptCount val="7"/>
                <c:pt idx="0">
                  <c:v>4252.4979999999996</c:v>
                </c:pt>
                <c:pt idx="1">
                  <c:v>23537.129000000001</c:v>
                </c:pt>
                <c:pt idx="2">
                  <c:v>50347.258000000002</c:v>
                </c:pt>
                <c:pt idx="3">
                  <c:v>126488.133</c:v>
                </c:pt>
                <c:pt idx="4">
                  <c:v>364051.43800000002</c:v>
                </c:pt>
                <c:pt idx="5">
                  <c:v>629025.25</c:v>
                </c:pt>
                <c:pt idx="6">
                  <c:v>1003648.5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1D-4040-A76C-36991C492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326152"/>
        <c:axId val="819161960"/>
      </c:scatterChart>
      <c:valAx>
        <c:axId val="745326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9161960"/>
        <c:crosses val="autoZero"/>
        <c:crossBetween val="midCat"/>
      </c:valAx>
      <c:valAx>
        <c:axId val="8191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45326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3.Carbendazim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檢量線!$B$35:$H$35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檢量線!$B$36:$H$36</c:f>
              <c:numCache>
                <c:formatCode>General</c:formatCode>
                <c:ptCount val="7"/>
                <c:pt idx="0">
                  <c:v>1966.306</c:v>
                </c:pt>
                <c:pt idx="1">
                  <c:v>9759.8330000000005</c:v>
                </c:pt>
                <c:pt idx="2">
                  <c:v>20535.032999999999</c:v>
                </c:pt>
                <c:pt idx="3">
                  <c:v>48585.745999999999</c:v>
                </c:pt>
                <c:pt idx="4">
                  <c:v>138208.04699999999</c:v>
                </c:pt>
                <c:pt idx="5">
                  <c:v>232644.81299999999</c:v>
                </c:pt>
                <c:pt idx="6">
                  <c:v>365409.375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C-40ED-A468-0964FE093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161600"/>
        <c:axId val="819163040"/>
      </c:scatterChart>
      <c:valAx>
        <c:axId val="81916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9163040"/>
        <c:crosses val="autoZero"/>
        <c:crossBetween val="midCat"/>
      </c:valAx>
      <c:valAx>
        <c:axId val="81916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916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4.Dimethomorph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檢量線!$B$51:$H$51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檢量線!$B$52:$H$52</c:f>
              <c:numCache>
                <c:formatCode>General</c:formatCode>
                <c:ptCount val="7"/>
                <c:pt idx="0">
                  <c:v>908.56200000000001</c:v>
                </c:pt>
                <c:pt idx="1">
                  <c:v>3021.7190000000001</c:v>
                </c:pt>
                <c:pt idx="2">
                  <c:v>5588.683</c:v>
                </c:pt>
                <c:pt idx="3">
                  <c:v>12753.596</c:v>
                </c:pt>
                <c:pt idx="4">
                  <c:v>36478.870999999999</c:v>
                </c:pt>
                <c:pt idx="5">
                  <c:v>67165.210999999996</c:v>
                </c:pt>
                <c:pt idx="6">
                  <c:v>108545.641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F5-4794-973F-DE869FF89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73936"/>
        <c:axId val="642171416"/>
      </c:scatterChart>
      <c:valAx>
        <c:axId val="64217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2171416"/>
        <c:crosses val="autoZero"/>
        <c:crossBetween val="midCat"/>
      </c:valAx>
      <c:valAx>
        <c:axId val="64217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2173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5.Pencycuron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檢量線!$B$67:$H$67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檢量線!$B$68:$H$68</c:f>
              <c:numCache>
                <c:formatCode>General</c:formatCode>
                <c:ptCount val="7"/>
                <c:pt idx="0">
                  <c:v>177.92</c:v>
                </c:pt>
                <c:pt idx="1">
                  <c:v>1466.9639999999999</c:v>
                </c:pt>
                <c:pt idx="2">
                  <c:v>2087.6280000000002</c:v>
                </c:pt>
                <c:pt idx="3">
                  <c:v>6449.152</c:v>
                </c:pt>
                <c:pt idx="4">
                  <c:v>21288.353999999999</c:v>
                </c:pt>
                <c:pt idx="5">
                  <c:v>33922.980000000003</c:v>
                </c:pt>
                <c:pt idx="6">
                  <c:v>52846.082000000002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961-87C7-32477634C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73936"/>
        <c:axId val="642170336"/>
      </c:scatterChart>
      <c:valAx>
        <c:axId val="64217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2170336"/>
        <c:crosses val="autoZero"/>
        <c:crossBetween val="midCat"/>
      </c:valAx>
      <c:valAx>
        <c:axId val="64217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2173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6.Pyraclostrobin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檢量線!$B$83:$H$83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檢量線!$B$84:$H$84</c:f>
              <c:numCache>
                <c:formatCode>General</c:formatCode>
                <c:ptCount val="7"/>
                <c:pt idx="0">
                  <c:v>2967.8029999999999</c:v>
                </c:pt>
                <c:pt idx="1">
                  <c:v>14048.856</c:v>
                </c:pt>
                <c:pt idx="2">
                  <c:v>31100.974999999999</c:v>
                </c:pt>
                <c:pt idx="3">
                  <c:v>76505.429999999993</c:v>
                </c:pt>
                <c:pt idx="4">
                  <c:v>216618.45300000001</c:v>
                </c:pt>
                <c:pt idx="5">
                  <c:v>378031.18800000002</c:v>
                </c:pt>
                <c:pt idx="6">
                  <c:v>596072.5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A-45E6-A5A6-C085D8FAD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910400"/>
        <c:axId val="634911840"/>
      </c:scatterChart>
      <c:valAx>
        <c:axId val="63491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4911840"/>
        <c:crosses val="autoZero"/>
        <c:crossBetween val="midCat"/>
      </c:valAx>
      <c:valAx>
        <c:axId val="63491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491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7.Tolfenpyrad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檢量線!$B$99:$H$99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檢量線!$B$100:$H$100</c:f>
              <c:numCache>
                <c:formatCode>General</c:formatCode>
                <c:ptCount val="7"/>
                <c:pt idx="0">
                  <c:v>227.977</c:v>
                </c:pt>
                <c:pt idx="1">
                  <c:v>1165.4449999999999</c:v>
                </c:pt>
                <c:pt idx="2">
                  <c:v>2183.578</c:v>
                </c:pt>
                <c:pt idx="3">
                  <c:v>4401.3239999999996</c:v>
                </c:pt>
                <c:pt idx="4">
                  <c:v>13768.362999999999</c:v>
                </c:pt>
                <c:pt idx="5">
                  <c:v>26445.938999999998</c:v>
                </c:pt>
                <c:pt idx="6">
                  <c:v>39172.741999999998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A7-4BC0-ACCB-B0E2566BA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910040"/>
        <c:axId val="634910400"/>
      </c:scatterChart>
      <c:valAx>
        <c:axId val="63491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4910400"/>
        <c:crosses val="autoZero"/>
        <c:crossBetween val="midCat"/>
      </c:valAx>
      <c:valAx>
        <c:axId val="6349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491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8.Fipronil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檢量線!$B$115:$H$115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檢量線!$B$116:$H$116</c:f>
              <c:numCache>
                <c:formatCode>General</c:formatCode>
                <c:ptCount val="7"/>
                <c:pt idx="0">
                  <c:v>438.69099999999997</c:v>
                </c:pt>
                <c:pt idx="1">
                  <c:v>2821.2710000000002</c:v>
                </c:pt>
                <c:pt idx="2">
                  <c:v>5982.5690000000004</c:v>
                </c:pt>
                <c:pt idx="3">
                  <c:v>15135.431</c:v>
                </c:pt>
                <c:pt idx="4">
                  <c:v>39962.375</c:v>
                </c:pt>
                <c:pt idx="5">
                  <c:v>63824.741999999998</c:v>
                </c:pt>
                <c:pt idx="6">
                  <c:v>99572.039000000004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3-4B78-BCFE-2EBE1173C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924432"/>
        <c:axId val="370925872"/>
      </c:scatterChart>
      <c:valAx>
        <c:axId val="37092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70925872"/>
        <c:crosses val="autoZero"/>
        <c:crossBetween val="midCat"/>
      </c:valAx>
      <c:valAx>
        <c:axId val="37092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7092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9.Flubendiamide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檢量線!$B$131:$H$131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檢量線!$B$132:$H$132</c:f>
              <c:numCache>
                <c:formatCode>General</c:formatCode>
                <c:ptCount val="7"/>
                <c:pt idx="0">
                  <c:v>413.33699999999999</c:v>
                </c:pt>
                <c:pt idx="1">
                  <c:v>2792.7420000000002</c:v>
                </c:pt>
                <c:pt idx="2">
                  <c:v>5326.7460000000001</c:v>
                </c:pt>
                <c:pt idx="3">
                  <c:v>13767.531999999999</c:v>
                </c:pt>
                <c:pt idx="4">
                  <c:v>38524.468999999997</c:v>
                </c:pt>
                <c:pt idx="5">
                  <c:v>61116.25</c:v>
                </c:pt>
                <c:pt idx="6">
                  <c:v>91241.039000000004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42-467C-8D12-8140BF3CE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910040"/>
        <c:axId val="837255760"/>
      </c:scatterChart>
      <c:valAx>
        <c:axId val="63491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37255760"/>
        <c:crosses val="autoZero"/>
        <c:crossBetween val="midCat"/>
      </c:valAx>
      <c:valAx>
        <c:axId val="83725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491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10.Lufenuron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檢量線!$B$147:$H$147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檢量線!$B$148:$H$148</c:f>
              <c:numCache>
                <c:formatCode>General</c:formatCode>
                <c:ptCount val="7"/>
                <c:pt idx="0">
                  <c:v>24.504000000000001</c:v>
                </c:pt>
                <c:pt idx="1">
                  <c:v>190.81100000000001</c:v>
                </c:pt>
                <c:pt idx="2">
                  <c:v>510.70499999999998</c:v>
                </c:pt>
                <c:pt idx="3">
                  <c:v>960.34299999999996</c:v>
                </c:pt>
                <c:pt idx="4">
                  <c:v>3294.1260000000002</c:v>
                </c:pt>
                <c:pt idx="5">
                  <c:v>5120.3530000000001</c:v>
                </c:pt>
                <c:pt idx="6">
                  <c:v>7840.46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13-4CD8-A38C-3E21BD40E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57560"/>
        <c:axId val="837259000"/>
      </c:scatterChart>
      <c:valAx>
        <c:axId val="837257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37259000"/>
        <c:crosses val="autoZero"/>
        <c:crossBetween val="midCat"/>
      </c:valAx>
      <c:valAx>
        <c:axId val="83725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3725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1.3-keto Carbofuran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檢量線!$B$243:$H$243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檢量線!$B$244:$H$244</c:f>
              <c:numCache>
                <c:formatCode>General</c:formatCode>
                <c:ptCount val="7"/>
                <c:pt idx="0">
                  <c:v>139.142</c:v>
                </c:pt>
                <c:pt idx="1">
                  <c:v>958.41300000000001</c:v>
                </c:pt>
                <c:pt idx="2">
                  <c:v>2132.8359999999998</c:v>
                </c:pt>
                <c:pt idx="3">
                  <c:v>4962.9960000000001</c:v>
                </c:pt>
                <c:pt idx="4">
                  <c:v>14909.138999999999</c:v>
                </c:pt>
                <c:pt idx="5">
                  <c:v>25527.815999999999</c:v>
                </c:pt>
                <c:pt idx="6">
                  <c:v>39995.133000000002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0B-4978-9B21-AAFD88DE9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837272"/>
        <c:axId val="634837632"/>
      </c:scatterChart>
      <c:valAx>
        <c:axId val="634837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4837632"/>
        <c:crosses val="autoZero"/>
        <c:crossBetween val="midCat"/>
      </c:valAx>
      <c:valAx>
        <c:axId val="63483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4837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2.3-OH Carbofuran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檢量線!$B$259:$H$259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檢量線!$B$260:$H$260</c:f>
              <c:numCache>
                <c:formatCode>General</c:formatCode>
                <c:ptCount val="7"/>
                <c:pt idx="0">
                  <c:v>97.418000000000006</c:v>
                </c:pt>
                <c:pt idx="1">
                  <c:v>679.24199999999996</c:v>
                </c:pt>
                <c:pt idx="2">
                  <c:v>1321.7529999999999</c:v>
                </c:pt>
                <c:pt idx="3">
                  <c:v>3689.2559999999999</c:v>
                </c:pt>
                <c:pt idx="4">
                  <c:v>10416.941999999999</c:v>
                </c:pt>
                <c:pt idx="5">
                  <c:v>17617.664000000001</c:v>
                </c:pt>
                <c:pt idx="6">
                  <c:v>28903.175999999999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B-491E-A302-BC4C512B3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835112"/>
        <c:axId val="634835832"/>
      </c:scatterChart>
      <c:valAx>
        <c:axId val="634835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4835832"/>
        <c:crosses val="autoZero"/>
        <c:crossBetween val="midCat"/>
      </c:valAx>
      <c:valAx>
        <c:axId val="63483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4835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3.Acetamiprid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檢量線!$B$275:$H$275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檢量線!$B$276:$H$276</c:f>
              <c:numCache>
                <c:formatCode>General</c:formatCode>
                <c:ptCount val="7"/>
                <c:pt idx="0">
                  <c:v>723.09400000000005</c:v>
                </c:pt>
                <c:pt idx="1">
                  <c:v>3318.538</c:v>
                </c:pt>
                <c:pt idx="2">
                  <c:v>6798.1170000000002</c:v>
                </c:pt>
                <c:pt idx="3">
                  <c:v>16457.328000000001</c:v>
                </c:pt>
                <c:pt idx="4">
                  <c:v>47257.137000000002</c:v>
                </c:pt>
                <c:pt idx="5">
                  <c:v>76248.312999999995</c:v>
                </c:pt>
                <c:pt idx="6">
                  <c:v>118276.086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5-4A7A-9654-8E7B660E0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411376"/>
        <c:axId val="893412456"/>
      </c:scatterChart>
      <c:valAx>
        <c:axId val="89341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93412456"/>
        <c:crosses val="autoZero"/>
        <c:crossBetween val="midCat"/>
      </c:valAx>
      <c:valAx>
        <c:axId val="8934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9341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4.Boscalid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檢量線!$B$291:$H$291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檢量線!$B$292:$H$292</c:f>
              <c:numCache>
                <c:formatCode>General</c:formatCode>
                <c:ptCount val="7"/>
                <c:pt idx="0">
                  <c:v>67.543999999999997</c:v>
                </c:pt>
                <c:pt idx="1">
                  <c:v>89.069000000000003</c:v>
                </c:pt>
                <c:pt idx="2">
                  <c:v>408.09899999999999</c:v>
                </c:pt>
                <c:pt idx="3">
                  <c:v>1015.768</c:v>
                </c:pt>
                <c:pt idx="4">
                  <c:v>3462.3919999999998</c:v>
                </c:pt>
                <c:pt idx="5">
                  <c:v>5552.0940000000001</c:v>
                </c:pt>
                <c:pt idx="6">
                  <c:v>9053.5079999999998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0-4EC9-95E2-91F6CC7D6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411376"/>
        <c:axId val="893409216"/>
      </c:scatterChart>
      <c:valAx>
        <c:axId val="89341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93409216"/>
        <c:crosses val="autoZero"/>
        <c:crossBetween val="midCat"/>
      </c:valAx>
      <c:valAx>
        <c:axId val="89340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9341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5.Carbofuran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檢量線!$B$307:$H$307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檢量線!$B$308:$H$308</c:f>
              <c:numCache>
                <c:formatCode>General</c:formatCode>
                <c:ptCount val="7"/>
                <c:pt idx="0">
                  <c:v>353.61099999999999</c:v>
                </c:pt>
                <c:pt idx="1">
                  <c:v>1623.1389999999999</c:v>
                </c:pt>
                <c:pt idx="2">
                  <c:v>3568.1120000000001</c:v>
                </c:pt>
                <c:pt idx="3">
                  <c:v>9037.6209999999992</c:v>
                </c:pt>
                <c:pt idx="4">
                  <c:v>25700.530999999999</c:v>
                </c:pt>
                <c:pt idx="5">
                  <c:v>44568.535000000003</c:v>
                </c:pt>
                <c:pt idx="6">
                  <c:v>71394.797000000006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6D-45B3-9A48-825F4A60A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510544"/>
        <c:axId val="812514864"/>
      </c:scatterChart>
      <c:valAx>
        <c:axId val="81251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2514864"/>
        <c:crosses val="autoZero"/>
        <c:crossBetween val="midCat"/>
      </c:valAx>
      <c:valAx>
        <c:axId val="81251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251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6.Chlorantraniliprole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檢量線!$B$323:$H$323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檢量線!$B$324:$H$324</c:f>
              <c:numCache>
                <c:formatCode>General</c:formatCode>
                <c:ptCount val="7"/>
                <c:pt idx="0">
                  <c:v>220.85</c:v>
                </c:pt>
                <c:pt idx="1">
                  <c:v>1389.5920000000001</c:v>
                </c:pt>
                <c:pt idx="2">
                  <c:v>2756.4650000000001</c:v>
                </c:pt>
                <c:pt idx="3">
                  <c:v>7630.9989999999998</c:v>
                </c:pt>
                <c:pt idx="4">
                  <c:v>21509.873</c:v>
                </c:pt>
                <c:pt idx="5">
                  <c:v>36345.754000000001</c:v>
                </c:pt>
                <c:pt idx="6">
                  <c:v>61622.453000000001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9D-4E84-8866-4019CD4EE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510184"/>
        <c:axId val="812509824"/>
      </c:scatterChart>
      <c:valAx>
        <c:axId val="812510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2509824"/>
        <c:crosses val="autoZero"/>
        <c:crossBetween val="midCat"/>
      </c:valAx>
      <c:valAx>
        <c:axId val="81250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2510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7.Clothianidin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檢量線!$B$339:$H$339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檢量線!$B$340:$H$340</c:f>
              <c:numCache>
                <c:formatCode>General</c:formatCode>
                <c:ptCount val="7"/>
                <c:pt idx="0">
                  <c:v>151.30699999999999</c:v>
                </c:pt>
                <c:pt idx="1">
                  <c:v>914.43100000000004</c:v>
                </c:pt>
                <c:pt idx="2">
                  <c:v>2025.5160000000001</c:v>
                </c:pt>
                <c:pt idx="3">
                  <c:v>4940.241</c:v>
                </c:pt>
                <c:pt idx="4">
                  <c:v>14126.646000000001</c:v>
                </c:pt>
                <c:pt idx="5">
                  <c:v>24302.41</c:v>
                </c:pt>
                <c:pt idx="6">
                  <c:v>38150.813000000002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81-4962-8C89-C7EDF422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510904"/>
        <c:axId val="812513784"/>
      </c:scatterChart>
      <c:valAx>
        <c:axId val="81251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2513784"/>
        <c:crosses val="autoZero"/>
        <c:crossBetween val="midCat"/>
      </c:valAx>
      <c:valAx>
        <c:axId val="81251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251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8.Dimethomorph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檢量線!$B$355:$H$355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檢量線!$B$356:$H$356</c:f>
              <c:numCache>
                <c:formatCode>General</c:formatCode>
                <c:ptCount val="7"/>
                <c:pt idx="0">
                  <c:v>908.56200000000001</c:v>
                </c:pt>
                <c:pt idx="1">
                  <c:v>3021.7190000000001</c:v>
                </c:pt>
                <c:pt idx="2">
                  <c:v>5588.683</c:v>
                </c:pt>
                <c:pt idx="3">
                  <c:v>12753.596</c:v>
                </c:pt>
                <c:pt idx="4">
                  <c:v>36478.870999999999</c:v>
                </c:pt>
                <c:pt idx="5">
                  <c:v>67165.210999999996</c:v>
                </c:pt>
                <c:pt idx="6">
                  <c:v>108545.641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B6-4F8D-B34E-6347F3934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510904"/>
        <c:axId val="816657160"/>
      </c:scatterChart>
      <c:valAx>
        <c:axId val="81251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6657160"/>
        <c:crosses val="autoZero"/>
        <c:crossBetween val="midCat"/>
      </c:valAx>
      <c:valAx>
        <c:axId val="81665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251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9.Imidacloprid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檢量線!$B$371:$H$371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檢量線!$B$372:$H$372</c:f>
              <c:numCache>
                <c:formatCode>General</c:formatCode>
                <c:ptCount val="7"/>
                <c:pt idx="0">
                  <c:v>350.27499999999998</c:v>
                </c:pt>
                <c:pt idx="1">
                  <c:v>1239.8050000000001</c:v>
                </c:pt>
                <c:pt idx="2">
                  <c:v>2344.3510000000001</c:v>
                </c:pt>
                <c:pt idx="3">
                  <c:v>5838.9110000000001</c:v>
                </c:pt>
                <c:pt idx="4">
                  <c:v>15407.728999999999</c:v>
                </c:pt>
                <c:pt idx="5">
                  <c:v>25331.476999999999</c:v>
                </c:pt>
                <c:pt idx="6">
                  <c:v>39851.754000000001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5-43A0-8FDF-529C081A6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657880"/>
        <c:axId val="816657520"/>
      </c:scatterChart>
      <c:valAx>
        <c:axId val="816657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6657520"/>
        <c:crosses val="autoZero"/>
        <c:crossBetween val="midCat"/>
      </c:valAx>
      <c:valAx>
        <c:axId val="81665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6657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10.Methomyl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檢量線!$B$387:$H$387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檢量線!$B$388:$H$388</c:f>
              <c:numCache>
                <c:formatCode>General</c:formatCode>
                <c:ptCount val="7"/>
                <c:pt idx="0">
                  <c:v>532.34900000000005</c:v>
                </c:pt>
                <c:pt idx="1">
                  <c:v>2771.4949999999999</c:v>
                </c:pt>
                <c:pt idx="2">
                  <c:v>5972.4859999999999</c:v>
                </c:pt>
                <c:pt idx="3">
                  <c:v>14673.808000000001</c:v>
                </c:pt>
                <c:pt idx="4">
                  <c:v>41208.175999999999</c:v>
                </c:pt>
                <c:pt idx="5">
                  <c:v>68222.358999999997</c:v>
                </c:pt>
                <c:pt idx="6">
                  <c:v>105029.359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ED-482C-A3F3-EBDFD8BB3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662560"/>
        <c:axId val="816658240"/>
      </c:scatterChart>
      <c:valAx>
        <c:axId val="81666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6658240"/>
        <c:crosses val="autoZero"/>
        <c:crossBetween val="midCat"/>
      </c:valAx>
      <c:valAx>
        <c:axId val="81665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666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11.Propamocarb hydrochloride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檢量線!$B$403:$H$403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檢量線!$B$404:$H$404</c:f>
              <c:numCache>
                <c:formatCode>General</c:formatCode>
                <c:ptCount val="7"/>
                <c:pt idx="0">
                  <c:v>942.50300000000004</c:v>
                </c:pt>
                <c:pt idx="1">
                  <c:v>4579.3419999999996</c:v>
                </c:pt>
                <c:pt idx="2">
                  <c:v>10393.415000000001</c:v>
                </c:pt>
                <c:pt idx="3">
                  <c:v>25286.940999999999</c:v>
                </c:pt>
                <c:pt idx="4">
                  <c:v>74730.608999999997</c:v>
                </c:pt>
                <c:pt idx="5">
                  <c:v>127948.492</c:v>
                </c:pt>
                <c:pt idx="6">
                  <c:v>202454.65599999999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01-4F58-9151-CB58F778E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658960"/>
        <c:axId val="816659320"/>
      </c:scatterChart>
      <c:valAx>
        <c:axId val="81665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6659320"/>
        <c:crosses val="autoZero"/>
        <c:crossBetween val="midCat"/>
      </c:valAx>
      <c:valAx>
        <c:axId val="81665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665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12.Thiamethoxam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檢量線!$B$419:$H$419</c:f>
              <c:numCache>
                <c:formatCode>General</c:formatCode>
                <c:ptCount val="7"/>
                <c:pt idx="0">
                  <c:v>0.4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80</c:v>
                </c:pt>
              </c:numCache>
            </c:numRef>
          </c:xVal>
          <c:yVal>
            <c:numRef>
              <c:f>檢量線!$B$420:$H$420</c:f>
              <c:numCache>
                <c:formatCode>General</c:formatCode>
                <c:ptCount val="7"/>
                <c:pt idx="0">
                  <c:v>717.74699999999996</c:v>
                </c:pt>
                <c:pt idx="1">
                  <c:v>3951.3960000000002</c:v>
                </c:pt>
                <c:pt idx="2">
                  <c:v>8813.643</c:v>
                </c:pt>
                <c:pt idx="3">
                  <c:v>21178.530999999999</c:v>
                </c:pt>
                <c:pt idx="4">
                  <c:v>61136.5</c:v>
                </c:pt>
                <c:pt idx="5">
                  <c:v>102773.031</c:v>
                </c:pt>
                <c:pt idx="6">
                  <c:v>164885.359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53-4F79-93A9-6D8C845C5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528536"/>
        <c:axId val="894531056"/>
      </c:scatterChart>
      <c:valAx>
        <c:axId val="89452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94531056"/>
        <c:crosses val="autoZero"/>
        <c:crossBetween val="midCat"/>
      </c:valAx>
      <c:valAx>
        <c:axId val="89453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9452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0</xdr:row>
          <xdr:rowOff>57150</xdr:rowOff>
        </xdr:from>
        <xdr:to>
          <xdr:col>12</xdr:col>
          <xdr:colOff>1352550</xdr:colOff>
          <xdr:row>2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</xdr:row>
          <xdr:rowOff>142875</xdr:rowOff>
        </xdr:from>
        <xdr:to>
          <xdr:col>12</xdr:col>
          <xdr:colOff>1352550</xdr:colOff>
          <xdr:row>4</xdr:row>
          <xdr:rowOff>123825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7</xdr:row>
          <xdr:rowOff>114300</xdr:rowOff>
        </xdr:from>
        <xdr:to>
          <xdr:col>12</xdr:col>
          <xdr:colOff>1352550</xdr:colOff>
          <xdr:row>9</xdr:row>
          <xdr:rowOff>95250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5</xdr:row>
          <xdr:rowOff>28575</xdr:rowOff>
        </xdr:from>
        <xdr:to>
          <xdr:col>12</xdr:col>
          <xdr:colOff>1352550</xdr:colOff>
          <xdr:row>7</xdr:row>
          <xdr:rowOff>9525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7</xdr:row>
      <xdr:rowOff>63500</xdr:rowOff>
    </xdr:from>
    <xdr:to>
      <xdr:col>5</xdr:col>
      <xdr:colOff>847725</xdr:colOff>
      <xdr:row>15</xdr:row>
      <xdr:rowOff>158750</xdr:rowOff>
    </xdr:to>
    <xdr:graphicFrame macro="">
      <xdr:nvGraphicFramePr>
        <xdr:cNvPr id="1238" name="圖表 1237">
          <a:extLst>
            <a:ext uri="{FF2B5EF4-FFF2-40B4-BE49-F238E27FC236}">
              <a16:creationId xmlns:a16="http://schemas.microsoft.com/office/drawing/2014/main" id="{8DEB539C-1D80-A33F-C0C2-0355B71834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63500</xdr:rowOff>
    </xdr:from>
    <xdr:to>
      <xdr:col>5</xdr:col>
      <xdr:colOff>847725</xdr:colOff>
      <xdr:row>31</xdr:row>
      <xdr:rowOff>158750</xdr:rowOff>
    </xdr:to>
    <xdr:graphicFrame macro="">
      <xdr:nvGraphicFramePr>
        <xdr:cNvPr id="1239" name="圖表 1238">
          <a:extLst>
            <a:ext uri="{FF2B5EF4-FFF2-40B4-BE49-F238E27FC236}">
              <a16:creationId xmlns:a16="http://schemas.microsoft.com/office/drawing/2014/main" id="{5EA1ECDB-77D1-57AB-4F9E-BF69FBDB15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39</xdr:row>
      <xdr:rowOff>63500</xdr:rowOff>
    </xdr:from>
    <xdr:to>
      <xdr:col>5</xdr:col>
      <xdr:colOff>847725</xdr:colOff>
      <xdr:row>47</xdr:row>
      <xdr:rowOff>158750</xdr:rowOff>
    </xdr:to>
    <xdr:graphicFrame macro="">
      <xdr:nvGraphicFramePr>
        <xdr:cNvPr id="1240" name="圖表 1239">
          <a:extLst>
            <a:ext uri="{FF2B5EF4-FFF2-40B4-BE49-F238E27FC236}">
              <a16:creationId xmlns:a16="http://schemas.microsoft.com/office/drawing/2014/main" id="{935528C3-C5C5-94C8-84B4-2C1B420DD8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55</xdr:row>
      <xdr:rowOff>63500</xdr:rowOff>
    </xdr:from>
    <xdr:to>
      <xdr:col>5</xdr:col>
      <xdr:colOff>847725</xdr:colOff>
      <xdr:row>63</xdr:row>
      <xdr:rowOff>158750</xdr:rowOff>
    </xdr:to>
    <xdr:graphicFrame macro="">
      <xdr:nvGraphicFramePr>
        <xdr:cNvPr id="1241" name="圖表 1240">
          <a:extLst>
            <a:ext uri="{FF2B5EF4-FFF2-40B4-BE49-F238E27FC236}">
              <a16:creationId xmlns:a16="http://schemas.microsoft.com/office/drawing/2014/main" id="{93E7D8B7-75B8-3C10-5726-157A04DF7C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71</xdr:row>
      <xdr:rowOff>63500</xdr:rowOff>
    </xdr:from>
    <xdr:to>
      <xdr:col>5</xdr:col>
      <xdr:colOff>847725</xdr:colOff>
      <xdr:row>79</xdr:row>
      <xdr:rowOff>158750</xdr:rowOff>
    </xdr:to>
    <xdr:graphicFrame macro="">
      <xdr:nvGraphicFramePr>
        <xdr:cNvPr id="1242" name="圖表 1241">
          <a:extLst>
            <a:ext uri="{FF2B5EF4-FFF2-40B4-BE49-F238E27FC236}">
              <a16:creationId xmlns:a16="http://schemas.microsoft.com/office/drawing/2014/main" id="{34C94D3C-FB04-7163-A2CC-2CA10073F4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87</xdr:row>
      <xdr:rowOff>63500</xdr:rowOff>
    </xdr:from>
    <xdr:to>
      <xdr:col>5</xdr:col>
      <xdr:colOff>847725</xdr:colOff>
      <xdr:row>95</xdr:row>
      <xdr:rowOff>158750</xdr:rowOff>
    </xdr:to>
    <xdr:graphicFrame macro="">
      <xdr:nvGraphicFramePr>
        <xdr:cNvPr id="1243" name="圖表 1242">
          <a:extLst>
            <a:ext uri="{FF2B5EF4-FFF2-40B4-BE49-F238E27FC236}">
              <a16:creationId xmlns:a16="http://schemas.microsoft.com/office/drawing/2014/main" id="{243636A4-856B-B80A-754A-D0917A384B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103</xdr:row>
      <xdr:rowOff>63500</xdr:rowOff>
    </xdr:from>
    <xdr:to>
      <xdr:col>5</xdr:col>
      <xdr:colOff>847725</xdr:colOff>
      <xdr:row>111</xdr:row>
      <xdr:rowOff>158750</xdr:rowOff>
    </xdr:to>
    <xdr:graphicFrame macro="">
      <xdr:nvGraphicFramePr>
        <xdr:cNvPr id="1244" name="圖表 1243">
          <a:extLst>
            <a:ext uri="{FF2B5EF4-FFF2-40B4-BE49-F238E27FC236}">
              <a16:creationId xmlns:a16="http://schemas.microsoft.com/office/drawing/2014/main" id="{D79B33A3-F179-42E1-4821-D8A07848D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127000</xdr:colOff>
      <xdr:row>119</xdr:row>
      <xdr:rowOff>63500</xdr:rowOff>
    </xdr:from>
    <xdr:to>
      <xdr:col>5</xdr:col>
      <xdr:colOff>847725</xdr:colOff>
      <xdr:row>127</xdr:row>
      <xdr:rowOff>158750</xdr:rowOff>
    </xdr:to>
    <xdr:graphicFrame macro="">
      <xdr:nvGraphicFramePr>
        <xdr:cNvPr id="1245" name="圖表 1244">
          <a:extLst>
            <a:ext uri="{FF2B5EF4-FFF2-40B4-BE49-F238E27FC236}">
              <a16:creationId xmlns:a16="http://schemas.microsoft.com/office/drawing/2014/main" id="{77B7CC86-7228-7162-0955-CBBB8AFD6B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135</xdr:row>
      <xdr:rowOff>63500</xdr:rowOff>
    </xdr:from>
    <xdr:to>
      <xdr:col>5</xdr:col>
      <xdr:colOff>847725</xdr:colOff>
      <xdr:row>143</xdr:row>
      <xdr:rowOff>158750</xdr:rowOff>
    </xdr:to>
    <xdr:graphicFrame macro="">
      <xdr:nvGraphicFramePr>
        <xdr:cNvPr id="1246" name="圖表 1245">
          <a:extLst>
            <a:ext uri="{FF2B5EF4-FFF2-40B4-BE49-F238E27FC236}">
              <a16:creationId xmlns:a16="http://schemas.microsoft.com/office/drawing/2014/main" id="{9889BEC7-10FE-A935-A77C-9F97084CEB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127000</xdr:colOff>
      <xdr:row>151</xdr:row>
      <xdr:rowOff>63500</xdr:rowOff>
    </xdr:from>
    <xdr:to>
      <xdr:col>5</xdr:col>
      <xdr:colOff>847725</xdr:colOff>
      <xdr:row>159</xdr:row>
      <xdr:rowOff>158750</xdr:rowOff>
    </xdr:to>
    <xdr:graphicFrame macro="">
      <xdr:nvGraphicFramePr>
        <xdr:cNvPr id="1247" name="圖表 1246">
          <a:extLst>
            <a:ext uri="{FF2B5EF4-FFF2-40B4-BE49-F238E27FC236}">
              <a16:creationId xmlns:a16="http://schemas.microsoft.com/office/drawing/2014/main" id="{B9DBA686-C74E-F548-3276-E3D989DDA6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127000</xdr:colOff>
      <xdr:row>247</xdr:row>
      <xdr:rowOff>63500</xdr:rowOff>
    </xdr:from>
    <xdr:to>
      <xdr:col>5</xdr:col>
      <xdr:colOff>847725</xdr:colOff>
      <xdr:row>255</xdr:row>
      <xdr:rowOff>158750</xdr:rowOff>
    </xdr:to>
    <xdr:graphicFrame macro="">
      <xdr:nvGraphicFramePr>
        <xdr:cNvPr id="1248" name="圖表 1247">
          <a:extLst>
            <a:ext uri="{FF2B5EF4-FFF2-40B4-BE49-F238E27FC236}">
              <a16:creationId xmlns:a16="http://schemas.microsoft.com/office/drawing/2014/main" id="{81EF9C2A-53C2-1A4B-12EB-1B08DEBA4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127000</xdr:colOff>
      <xdr:row>263</xdr:row>
      <xdr:rowOff>63500</xdr:rowOff>
    </xdr:from>
    <xdr:to>
      <xdr:col>5</xdr:col>
      <xdr:colOff>847725</xdr:colOff>
      <xdr:row>271</xdr:row>
      <xdr:rowOff>158750</xdr:rowOff>
    </xdr:to>
    <xdr:graphicFrame macro="">
      <xdr:nvGraphicFramePr>
        <xdr:cNvPr id="1249" name="圖表 1248">
          <a:extLst>
            <a:ext uri="{FF2B5EF4-FFF2-40B4-BE49-F238E27FC236}">
              <a16:creationId xmlns:a16="http://schemas.microsoft.com/office/drawing/2014/main" id="{72DD771F-DCAD-D8CA-4BB8-808CD63F7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127000</xdr:colOff>
      <xdr:row>279</xdr:row>
      <xdr:rowOff>63500</xdr:rowOff>
    </xdr:from>
    <xdr:to>
      <xdr:col>5</xdr:col>
      <xdr:colOff>847725</xdr:colOff>
      <xdr:row>287</xdr:row>
      <xdr:rowOff>158750</xdr:rowOff>
    </xdr:to>
    <xdr:graphicFrame macro="">
      <xdr:nvGraphicFramePr>
        <xdr:cNvPr id="1250" name="圖表 1249">
          <a:extLst>
            <a:ext uri="{FF2B5EF4-FFF2-40B4-BE49-F238E27FC236}">
              <a16:creationId xmlns:a16="http://schemas.microsoft.com/office/drawing/2014/main" id="{8019DA63-545F-8570-BBCE-0E1FBB0A3D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127000</xdr:colOff>
      <xdr:row>295</xdr:row>
      <xdr:rowOff>63500</xdr:rowOff>
    </xdr:from>
    <xdr:to>
      <xdr:col>5</xdr:col>
      <xdr:colOff>847725</xdr:colOff>
      <xdr:row>303</xdr:row>
      <xdr:rowOff>158750</xdr:rowOff>
    </xdr:to>
    <xdr:graphicFrame macro="">
      <xdr:nvGraphicFramePr>
        <xdr:cNvPr id="1251" name="圖表 1250">
          <a:extLst>
            <a:ext uri="{FF2B5EF4-FFF2-40B4-BE49-F238E27FC236}">
              <a16:creationId xmlns:a16="http://schemas.microsoft.com/office/drawing/2014/main" id="{D3E20E2E-1FD9-DB79-E437-7A68EBF025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127000</xdr:colOff>
      <xdr:row>311</xdr:row>
      <xdr:rowOff>63500</xdr:rowOff>
    </xdr:from>
    <xdr:to>
      <xdr:col>5</xdr:col>
      <xdr:colOff>847725</xdr:colOff>
      <xdr:row>319</xdr:row>
      <xdr:rowOff>158750</xdr:rowOff>
    </xdr:to>
    <xdr:graphicFrame macro="">
      <xdr:nvGraphicFramePr>
        <xdr:cNvPr id="1252" name="圖表 1251">
          <a:extLst>
            <a:ext uri="{FF2B5EF4-FFF2-40B4-BE49-F238E27FC236}">
              <a16:creationId xmlns:a16="http://schemas.microsoft.com/office/drawing/2014/main" id="{54B92430-A878-549D-78DB-D979CCF83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127000</xdr:colOff>
      <xdr:row>327</xdr:row>
      <xdr:rowOff>63500</xdr:rowOff>
    </xdr:from>
    <xdr:to>
      <xdr:col>5</xdr:col>
      <xdr:colOff>847725</xdr:colOff>
      <xdr:row>335</xdr:row>
      <xdr:rowOff>158750</xdr:rowOff>
    </xdr:to>
    <xdr:graphicFrame macro="">
      <xdr:nvGraphicFramePr>
        <xdr:cNvPr id="1253" name="圖表 1252">
          <a:extLst>
            <a:ext uri="{FF2B5EF4-FFF2-40B4-BE49-F238E27FC236}">
              <a16:creationId xmlns:a16="http://schemas.microsoft.com/office/drawing/2014/main" id="{0DCE0F66-B0D4-5ADA-1729-05A6F38AC6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127000</xdr:colOff>
      <xdr:row>343</xdr:row>
      <xdr:rowOff>63500</xdr:rowOff>
    </xdr:from>
    <xdr:to>
      <xdr:col>5</xdr:col>
      <xdr:colOff>847725</xdr:colOff>
      <xdr:row>351</xdr:row>
      <xdr:rowOff>158750</xdr:rowOff>
    </xdr:to>
    <xdr:graphicFrame macro="">
      <xdr:nvGraphicFramePr>
        <xdr:cNvPr id="1254" name="圖表 1253">
          <a:extLst>
            <a:ext uri="{FF2B5EF4-FFF2-40B4-BE49-F238E27FC236}">
              <a16:creationId xmlns:a16="http://schemas.microsoft.com/office/drawing/2014/main" id="{AA4AF826-E1D8-1312-687E-734C297715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127000</xdr:colOff>
      <xdr:row>359</xdr:row>
      <xdr:rowOff>63500</xdr:rowOff>
    </xdr:from>
    <xdr:to>
      <xdr:col>5</xdr:col>
      <xdr:colOff>847725</xdr:colOff>
      <xdr:row>367</xdr:row>
      <xdr:rowOff>158750</xdr:rowOff>
    </xdr:to>
    <xdr:graphicFrame macro="">
      <xdr:nvGraphicFramePr>
        <xdr:cNvPr id="1255" name="圖表 1254">
          <a:extLst>
            <a:ext uri="{FF2B5EF4-FFF2-40B4-BE49-F238E27FC236}">
              <a16:creationId xmlns:a16="http://schemas.microsoft.com/office/drawing/2014/main" id="{DCE826F7-ABD4-A7FA-A5BF-85AA1ACCCF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127000</xdr:colOff>
      <xdr:row>375</xdr:row>
      <xdr:rowOff>63500</xdr:rowOff>
    </xdr:from>
    <xdr:to>
      <xdr:col>5</xdr:col>
      <xdr:colOff>847725</xdr:colOff>
      <xdr:row>383</xdr:row>
      <xdr:rowOff>158750</xdr:rowOff>
    </xdr:to>
    <xdr:graphicFrame macro="">
      <xdr:nvGraphicFramePr>
        <xdr:cNvPr id="1256" name="圖表 1255">
          <a:extLst>
            <a:ext uri="{FF2B5EF4-FFF2-40B4-BE49-F238E27FC236}">
              <a16:creationId xmlns:a16="http://schemas.microsoft.com/office/drawing/2014/main" id="{676066D6-80FA-4112-71AF-C30DFA4E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127000</xdr:colOff>
      <xdr:row>391</xdr:row>
      <xdr:rowOff>63500</xdr:rowOff>
    </xdr:from>
    <xdr:to>
      <xdr:col>5</xdr:col>
      <xdr:colOff>847725</xdr:colOff>
      <xdr:row>399</xdr:row>
      <xdr:rowOff>158750</xdr:rowOff>
    </xdr:to>
    <xdr:graphicFrame macro="">
      <xdr:nvGraphicFramePr>
        <xdr:cNvPr id="1257" name="圖表 1256">
          <a:extLst>
            <a:ext uri="{FF2B5EF4-FFF2-40B4-BE49-F238E27FC236}">
              <a16:creationId xmlns:a16="http://schemas.microsoft.com/office/drawing/2014/main" id="{E431BBF4-3BB8-C14A-83A9-7A982A820B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127000</xdr:colOff>
      <xdr:row>407</xdr:row>
      <xdr:rowOff>63500</xdr:rowOff>
    </xdr:from>
    <xdr:to>
      <xdr:col>5</xdr:col>
      <xdr:colOff>847725</xdr:colOff>
      <xdr:row>415</xdr:row>
      <xdr:rowOff>158750</xdr:rowOff>
    </xdr:to>
    <xdr:graphicFrame macro="">
      <xdr:nvGraphicFramePr>
        <xdr:cNvPr id="1258" name="圖表 1257">
          <a:extLst>
            <a:ext uri="{FF2B5EF4-FFF2-40B4-BE49-F238E27FC236}">
              <a16:creationId xmlns:a16="http://schemas.microsoft.com/office/drawing/2014/main" id="{6CD09B84-6F33-4598-8318-04C03049CB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127000</xdr:colOff>
      <xdr:row>423</xdr:row>
      <xdr:rowOff>63500</xdr:rowOff>
    </xdr:from>
    <xdr:to>
      <xdr:col>5</xdr:col>
      <xdr:colOff>847725</xdr:colOff>
      <xdr:row>431</xdr:row>
      <xdr:rowOff>158750</xdr:rowOff>
    </xdr:to>
    <xdr:graphicFrame macro="">
      <xdr:nvGraphicFramePr>
        <xdr:cNvPr id="1259" name="圖表 1258">
          <a:extLst>
            <a:ext uri="{FF2B5EF4-FFF2-40B4-BE49-F238E27FC236}">
              <a16:creationId xmlns:a16="http://schemas.microsoft.com/office/drawing/2014/main" id="{C53F59FE-4F9D-BA75-E1C1-1AC2C06F64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L658"/>
  <sheetViews>
    <sheetView tabSelected="1" view="pageBreakPreview" zoomScaleNormal="100" zoomScaleSheetLayoutView="100" workbookViewId="0">
      <selection activeCell="I9" sqref="I9"/>
    </sheetView>
  </sheetViews>
  <sheetFormatPr defaultRowHeight="16.5" x14ac:dyDescent="0.25"/>
  <cols>
    <col min="1" max="1" width="23.375" customWidth="1"/>
    <col min="2" max="12" width="12.625" customWidth="1"/>
    <col min="13" max="13" width="30.625" customWidth="1"/>
  </cols>
  <sheetData>
    <row r="1" spans="1:8" x14ac:dyDescent="0.25">
      <c r="A1" t="s">
        <v>30</v>
      </c>
    </row>
    <row r="2" spans="1:8" x14ac:dyDescent="0.25">
      <c r="A2" t="s">
        <v>31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32</v>
      </c>
      <c r="H2" t="s">
        <v>33</v>
      </c>
    </row>
    <row r="3" spans="1:8" x14ac:dyDescent="0.25">
      <c r="A3" t="s">
        <v>5</v>
      </c>
      <c r="B3">
        <v>0.4</v>
      </c>
      <c r="C3">
        <v>2</v>
      </c>
      <c r="D3">
        <v>4</v>
      </c>
      <c r="E3">
        <v>10</v>
      </c>
      <c r="F3">
        <v>30</v>
      </c>
      <c r="G3">
        <v>50</v>
      </c>
      <c r="H3">
        <v>80</v>
      </c>
    </row>
    <row r="4" spans="1:8" x14ac:dyDescent="0.25">
      <c r="A4" t="s">
        <v>6</v>
      </c>
      <c r="B4">
        <v>723.09400000000005</v>
      </c>
      <c r="C4">
        <v>3318.538</v>
      </c>
      <c r="D4">
        <v>6798.1170000000002</v>
      </c>
      <c r="E4">
        <v>16457.328000000001</v>
      </c>
      <c r="F4">
        <v>47257.137000000002</v>
      </c>
      <c r="G4">
        <v>76248.312999999995</v>
      </c>
      <c r="H4">
        <v>118276.086</v>
      </c>
    </row>
    <row r="5" spans="1:8" x14ac:dyDescent="0.25">
      <c r="A5" t="s">
        <v>7</v>
      </c>
    </row>
    <row r="6" spans="1:8" x14ac:dyDescent="0.25">
      <c r="A6" t="s">
        <v>8</v>
      </c>
      <c r="B6">
        <v>0.99967799999999996</v>
      </c>
      <c r="C6" t="s">
        <v>9</v>
      </c>
      <c r="D6">
        <v>1481.3343219999999</v>
      </c>
      <c r="E6" t="s">
        <v>10</v>
      </c>
      <c r="F6">
        <v>1110.176937</v>
      </c>
    </row>
    <row r="7" spans="1:8" x14ac:dyDescent="0.25">
      <c r="B7" t="s">
        <v>34</v>
      </c>
    </row>
    <row r="18" spans="1:8" x14ac:dyDescent="0.25">
      <c r="A18" t="s">
        <v>35</v>
      </c>
      <c r="B18" t="s">
        <v>0</v>
      </c>
      <c r="C18" t="s">
        <v>1</v>
      </c>
      <c r="D18" t="s">
        <v>2</v>
      </c>
      <c r="E18" t="s">
        <v>3</v>
      </c>
      <c r="F18" t="s">
        <v>4</v>
      </c>
      <c r="G18" t="s">
        <v>32</v>
      </c>
      <c r="H18" t="s">
        <v>33</v>
      </c>
    </row>
    <row r="19" spans="1:8" x14ac:dyDescent="0.25">
      <c r="A19" t="s">
        <v>5</v>
      </c>
      <c r="B19">
        <v>0.4</v>
      </c>
      <c r="C19">
        <v>2</v>
      </c>
      <c r="D19">
        <v>4</v>
      </c>
      <c r="E19">
        <v>10</v>
      </c>
      <c r="F19">
        <v>30</v>
      </c>
      <c r="G19">
        <v>50</v>
      </c>
      <c r="H19">
        <v>80</v>
      </c>
    </row>
    <row r="20" spans="1:8" x14ac:dyDescent="0.25">
      <c r="A20" t="s">
        <v>6</v>
      </c>
      <c r="B20">
        <v>4252.4979999999996</v>
      </c>
      <c r="C20">
        <v>23537.129000000001</v>
      </c>
      <c r="D20">
        <v>50347.258000000002</v>
      </c>
      <c r="E20">
        <v>126488.133</v>
      </c>
      <c r="F20">
        <v>364051.43800000002</v>
      </c>
      <c r="G20">
        <v>629025.25</v>
      </c>
      <c r="H20">
        <v>1003648.5</v>
      </c>
    </row>
    <row r="21" spans="1:8" x14ac:dyDescent="0.25">
      <c r="A21" t="s">
        <v>7</v>
      </c>
    </row>
    <row r="22" spans="1:8" x14ac:dyDescent="0.25">
      <c r="A22" t="s">
        <v>8</v>
      </c>
      <c r="B22">
        <v>0.999919</v>
      </c>
      <c r="C22" t="s">
        <v>9</v>
      </c>
      <c r="D22">
        <v>12549.262462000001</v>
      </c>
      <c r="E22" t="s">
        <v>10</v>
      </c>
      <c r="F22">
        <v>-1762.813185</v>
      </c>
    </row>
    <row r="23" spans="1:8" x14ac:dyDescent="0.25">
      <c r="B23" t="s">
        <v>36</v>
      </c>
    </row>
    <row r="34" spans="1:8" x14ac:dyDescent="0.25">
      <c r="A34" t="s">
        <v>37</v>
      </c>
      <c r="B34" t="s">
        <v>0</v>
      </c>
      <c r="C34" t="s">
        <v>1</v>
      </c>
      <c r="D34" t="s">
        <v>2</v>
      </c>
      <c r="E34" t="s">
        <v>3</v>
      </c>
      <c r="F34" t="s">
        <v>4</v>
      </c>
      <c r="G34" t="s">
        <v>32</v>
      </c>
      <c r="H34" t="s">
        <v>33</v>
      </c>
    </row>
    <row r="35" spans="1:8" x14ac:dyDescent="0.25">
      <c r="A35" t="s">
        <v>5</v>
      </c>
      <c r="B35">
        <v>0.4</v>
      </c>
      <c r="C35">
        <v>2</v>
      </c>
      <c r="D35">
        <v>4</v>
      </c>
      <c r="E35">
        <v>10</v>
      </c>
      <c r="F35">
        <v>30</v>
      </c>
      <c r="G35">
        <v>50</v>
      </c>
      <c r="H35">
        <v>80</v>
      </c>
    </row>
    <row r="36" spans="1:8" x14ac:dyDescent="0.25">
      <c r="A36" t="s">
        <v>6</v>
      </c>
      <c r="B36">
        <v>1966.306</v>
      </c>
      <c r="C36">
        <v>9759.8330000000005</v>
      </c>
      <c r="D36">
        <v>20535.032999999999</v>
      </c>
      <c r="E36">
        <v>48585.745999999999</v>
      </c>
      <c r="F36">
        <v>138208.04699999999</v>
      </c>
      <c r="G36">
        <v>232644.81299999999</v>
      </c>
      <c r="H36">
        <v>365409.375</v>
      </c>
    </row>
    <row r="37" spans="1:8" x14ac:dyDescent="0.25">
      <c r="A37" t="s">
        <v>7</v>
      </c>
    </row>
    <row r="38" spans="1:8" x14ac:dyDescent="0.25">
      <c r="A38" t="s">
        <v>8</v>
      </c>
      <c r="B38">
        <v>0.99993399999999999</v>
      </c>
      <c r="C38" t="s">
        <v>9</v>
      </c>
      <c r="D38">
        <v>4567.8417030000001</v>
      </c>
      <c r="E38" t="s">
        <v>10</v>
      </c>
      <c r="F38">
        <v>1620.2680760000001</v>
      </c>
    </row>
    <row r="39" spans="1:8" x14ac:dyDescent="0.25">
      <c r="B39" t="s">
        <v>38</v>
      </c>
    </row>
    <row r="50" spans="1:8" x14ac:dyDescent="0.25">
      <c r="A50" t="s">
        <v>39</v>
      </c>
      <c r="B50" t="s">
        <v>0</v>
      </c>
      <c r="C50" t="s">
        <v>1</v>
      </c>
      <c r="D50" t="s">
        <v>2</v>
      </c>
      <c r="E50" t="s">
        <v>3</v>
      </c>
      <c r="F50" t="s">
        <v>4</v>
      </c>
      <c r="G50" t="s">
        <v>32</v>
      </c>
      <c r="H50" t="s">
        <v>33</v>
      </c>
    </row>
    <row r="51" spans="1:8" x14ac:dyDescent="0.25">
      <c r="A51" t="s">
        <v>5</v>
      </c>
      <c r="B51">
        <v>0.4</v>
      </c>
      <c r="C51">
        <v>2</v>
      </c>
      <c r="D51">
        <v>4</v>
      </c>
      <c r="E51">
        <v>10</v>
      </c>
      <c r="F51">
        <v>30</v>
      </c>
      <c r="G51">
        <v>50</v>
      </c>
      <c r="H51">
        <v>80</v>
      </c>
    </row>
    <row r="52" spans="1:8" x14ac:dyDescent="0.25">
      <c r="A52" t="s">
        <v>6</v>
      </c>
      <c r="B52">
        <v>908.56200000000001</v>
      </c>
      <c r="C52">
        <v>3021.7190000000001</v>
      </c>
      <c r="D52">
        <v>5588.683</v>
      </c>
      <c r="E52">
        <v>12753.596</v>
      </c>
      <c r="F52">
        <v>36478.870999999999</v>
      </c>
      <c r="G52">
        <v>67165.210999999996</v>
      </c>
      <c r="H52">
        <v>108545.641</v>
      </c>
    </row>
    <row r="53" spans="1:8" x14ac:dyDescent="0.25">
      <c r="A53" t="s">
        <v>7</v>
      </c>
    </row>
    <row r="54" spans="1:8" x14ac:dyDescent="0.25">
      <c r="A54" t="s">
        <v>8</v>
      </c>
      <c r="B54">
        <v>0.999224</v>
      </c>
      <c r="C54" t="s">
        <v>9</v>
      </c>
      <c r="D54">
        <v>1348.7283709999999</v>
      </c>
      <c r="E54" t="s">
        <v>10</v>
      </c>
      <c r="F54">
        <v>-493.34308900000002</v>
      </c>
    </row>
    <row r="55" spans="1:8" x14ac:dyDescent="0.25">
      <c r="B55" t="s">
        <v>40</v>
      </c>
    </row>
    <row r="66" spans="1:8" x14ac:dyDescent="0.25">
      <c r="A66" t="s">
        <v>41</v>
      </c>
      <c r="B66" t="s">
        <v>0</v>
      </c>
      <c r="C66" t="s">
        <v>1</v>
      </c>
      <c r="D66" t="s">
        <v>2</v>
      </c>
      <c r="E66" t="s">
        <v>3</v>
      </c>
      <c r="F66" t="s">
        <v>4</v>
      </c>
      <c r="G66" t="s">
        <v>32</v>
      </c>
      <c r="H66" t="s">
        <v>33</v>
      </c>
    </row>
    <row r="67" spans="1:8" x14ac:dyDescent="0.25">
      <c r="A67" t="s">
        <v>5</v>
      </c>
      <c r="B67">
        <v>0.4</v>
      </c>
      <c r="C67">
        <v>2</v>
      </c>
      <c r="D67">
        <v>4</v>
      </c>
      <c r="E67">
        <v>10</v>
      </c>
      <c r="F67">
        <v>30</v>
      </c>
      <c r="G67">
        <v>50</v>
      </c>
      <c r="H67">
        <v>80</v>
      </c>
    </row>
    <row r="68" spans="1:8" x14ac:dyDescent="0.25">
      <c r="A68" t="s">
        <v>6</v>
      </c>
      <c r="B68">
        <v>177.92</v>
      </c>
      <c r="C68">
        <v>1466.9639999999999</v>
      </c>
      <c r="D68">
        <v>2087.6280000000002</v>
      </c>
      <c r="E68">
        <v>6449.152</v>
      </c>
      <c r="F68">
        <v>21288.353999999999</v>
      </c>
      <c r="G68">
        <v>33922.980000000003</v>
      </c>
      <c r="H68">
        <v>52846.082000000002</v>
      </c>
    </row>
    <row r="69" spans="1:8" x14ac:dyDescent="0.25">
      <c r="A69" t="s">
        <v>7</v>
      </c>
    </row>
    <row r="70" spans="1:8" x14ac:dyDescent="0.25">
      <c r="A70" t="s">
        <v>8</v>
      </c>
      <c r="B70">
        <v>0.99947299999999994</v>
      </c>
      <c r="C70" t="s">
        <v>9</v>
      </c>
      <c r="D70">
        <v>668.27190599999994</v>
      </c>
      <c r="E70" t="s">
        <v>10</v>
      </c>
      <c r="F70">
        <v>50.845115</v>
      </c>
    </row>
    <row r="71" spans="1:8" x14ac:dyDescent="0.25">
      <c r="B71" t="s">
        <v>42</v>
      </c>
    </row>
    <row r="82" spans="1:8" x14ac:dyDescent="0.25">
      <c r="A82" t="s">
        <v>43</v>
      </c>
      <c r="B82" t="s">
        <v>0</v>
      </c>
      <c r="C82" t="s">
        <v>1</v>
      </c>
      <c r="D82" t="s">
        <v>2</v>
      </c>
      <c r="E82" t="s">
        <v>3</v>
      </c>
      <c r="F82" t="s">
        <v>4</v>
      </c>
      <c r="G82" t="s">
        <v>32</v>
      </c>
      <c r="H82" t="s">
        <v>33</v>
      </c>
    </row>
    <row r="83" spans="1:8" x14ac:dyDescent="0.25">
      <c r="A83" t="s">
        <v>5</v>
      </c>
      <c r="B83">
        <v>0.4</v>
      </c>
      <c r="C83">
        <v>2</v>
      </c>
      <c r="D83">
        <v>4</v>
      </c>
      <c r="E83">
        <v>10</v>
      </c>
      <c r="F83">
        <v>30</v>
      </c>
      <c r="G83">
        <v>50</v>
      </c>
      <c r="H83">
        <v>80</v>
      </c>
    </row>
    <row r="84" spans="1:8" x14ac:dyDescent="0.25">
      <c r="A84" t="s">
        <v>6</v>
      </c>
      <c r="B84">
        <v>2967.8029999999999</v>
      </c>
      <c r="C84">
        <v>14048.856</v>
      </c>
      <c r="D84">
        <v>31100.974999999999</v>
      </c>
      <c r="E84">
        <v>76505.429999999993</v>
      </c>
      <c r="F84">
        <v>216618.45300000001</v>
      </c>
      <c r="G84">
        <v>378031.18800000002</v>
      </c>
      <c r="H84">
        <v>596072.5</v>
      </c>
    </row>
    <row r="85" spans="1:8" x14ac:dyDescent="0.25">
      <c r="A85" t="s">
        <v>7</v>
      </c>
    </row>
    <row r="86" spans="1:8" x14ac:dyDescent="0.25">
      <c r="A86" t="s">
        <v>8</v>
      </c>
      <c r="B86">
        <v>0.99986299999999995</v>
      </c>
      <c r="C86" t="s">
        <v>9</v>
      </c>
      <c r="D86">
        <v>7462.8040899999996</v>
      </c>
      <c r="E86" t="s">
        <v>10</v>
      </c>
      <c r="F86">
        <v>-156.20521500000001</v>
      </c>
    </row>
    <row r="87" spans="1:8" x14ac:dyDescent="0.25">
      <c r="B87" t="s">
        <v>44</v>
      </c>
    </row>
    <row r="98" spans="1:8" x14ac:dyDescent="0.25">
      <c r="A98" t="s">
        <v>45</v>
      </c>
      <c r="B98" t="s">
        <v>0</v>
      </c>
      <c r="C98" t="s">
        <v>1</v>
      </c>
      <c r="D98" t="s">
        <v>2</v>
      </c>
      <c r="E98" t="s">
        <v>3</v>
      </c>
      <c r="F98" t="s">
        <v>4</v>
      </c>
      <c r="G98" t="s">
        <v>32</v>
      </c>
      <c r="H98" t="s">
        <v>33</v>
      </c>
    </row>
    <row r="99" spans="1:8" x14ac:dyDescent="0.25">
      <c r="A99" t="s">
        <v>5</v>
      </c>
      <c r="B99">
        <v>0.4</v>
      </c>
      <c r="C99">
        <v>2</v>
      </c>
      <c r="D99">
        <v>4</v>
      </c>
      <c r="E99">
        <v>10</v>
      </c>
      <c r="F99">
        <v>30</v>
      </c>
      <c r="G99">
        <v>50</v>
      </c>
      <c r="H99">
        <v>80</v>
      </c>
    </row>
    <row r="100" spans="1:8" x14ac:dyDescent="0.25">
      <c r="A100" t="s">
        <v>6</v>
      </c>
      <c r="B100">
        <v>227.977</v>
      </c>
      <c r="C100">
        <v>1165.4449999999999</v>
      </c>
      <c r="D100">
        <v>2183.578</v>
      </c>
      <c r="E100">
        <v>4401.3239999999996</v>
      </c>
      <c r="F100">
        <v>13768.362999999999</v>
      </c>
      <c r="G100">
        <v>26445.938999999998</v>
      </c>
      <c r="H100">
        <v>39172.741999999998</v>
      </c>
    </row>
    <row r="101" spans="1:8" x14ac:dyDescent="0.25">
      <c r="A101" t="s">
        <v>7</v>
      </c>
    </row>
    <row r="102" spans="1:8" x14ac:dyDescent="0.25">
      <c r="A102" t="s">
        <v>8</v>
      </c>
      <c r="B102">
        <v>0.99831599999999998</v>
      </c>
      <c r="C102" t="s">
        <v>9</v>
      </c>
      <c r="D102">
        <v>497.31310300000001</v>
      </c>
      <c r="E102" t="s">
        <v>10</v>
      </c>
      <c r="F102">
        <v>-51.523328999999997</v>
      </c>
    </row>
    <row r="103" spans="1:8" x14ac:dyDescent="0.25">
      <c r="B103" t="s">
        <v>46</v>
      </c>
    </row>
    <row r="114" spans="1:8" x14ac:dyDescent="0.25">
      <c r="A114" t="s">
        <v>47</v>
      </c>
      <c r="B114" t="s">
        <v>0</v>
      </c>
      <c r="C114" t="s">
        <v>1</v>
      </c>
      <c r="D114" t="s">
        <v>2</v>
      </c>
      <c r="E114" t="s">
        <v>3</v>
      </c>
      <c r="F114" t="s">
        <v>4</v>
      </c>
      <c r="G114" t="s">
        <v>32</v>
      </c>
      <c r="H114" t="s">
        <v>33</v>
      </c>
    </row>
    <row r="115" spans="1:8" x14ac:dyDescent="0.25">
      <c r="A115" t="s">
        <v>5</v>
      </c>
      <c r="B115">
        <v>0.4</v>
      </c>
      <c r="C115">
        <v>2</v>
      </c>
      <c r="D115">
        <v>4</v>
      </c>
      <c r="E115">
        <v>10</v>
      </c>
      <c r="F115">
        <v>30</v>
      </c>
      <c r="G115">
        <v>50</v>
      </c>
      <c r="H115">
        <v>80</v>
      </c>
    </row>
    <row r="116" spans="1:8" x14ac:dyDescent="0.25">
      <c r="A116" t="s">
        <v>6</v>
      </c>
      <c r="B116">
        <v>438.69099999999997</v>
      </c>
      <c r="C116">
        <v>2821.2710000000002</v>
      </c>
      <c r="D116">
        <v>5982.5690000000004</v>
      </c>
      <c r="E116">
        <v>15135.431</v>
      </c>
      <c r="F116">
        <v>39962.375</v>
      </c>
      <c r="G116">
        <v>63824.741999999998</v>
      </c>
      <c r="H116">
        <v>99572.039000000004</v>
      </c>
    </row>
    <row r="117" spans="1:8" x14ac:dyDescent="0.25">
      <c r="A117" t="s">
        <v>7</v>
      </c>
    </row>
    <row r="118" spans="1:8" x14ac:dyDescent="0.25">
      <c r="A118" t="s">
        <v>8</v>
      </c>
      <c r="B118">
        <v>0.99951699999999999</v>
      </c>
      <c r="C118" t="s">
        <v>9</v>
      </c>
      <c r="D118">
        <v>1241.670813</v>
      </c>
      <c r="E118" t="s">
        <v>10</v>
      </c>
      <c r="F118">
        <v>1243.7695120000001</v>
      </c>
    </row>
    <row r="119" spans="1:8" x14ac:dyDescent="0.25">
      <c r="B119" t="s">
        <v>48</v>
      </c>
    </row>
    <row r="130" spans="1:8" x14ac:dyDescent="0.25">
      <c r="A130" t="s">
        <v>49</v>
      </c>
      <c r="B130" t="s">
        <v>0</v>
      </c>
      <c r="C130" t="s">
        <v>1</v>
      </c>
      <c r="D130" t="s">
        <v>2</v>
      </c>
      <c r="E130" t="s">
        <v>3</v>
      </c>
      <c r="F130" t="s">
        <v>4</v>
      </c>
      <c r="G130" t="s">
        <v>32</v>
      </c>
      <c r="H130" t="s">
        <v>33</v>
      </c>
    </row>
    <row r="131" spans="1:8" x14ac:dyDescent="0.25">
      <c r="A131" t="s">
        <v>5</v>
      </c>
      <c r="B131">
        <v>0.4</v>
      </c>
      <c r="C131">
        <v>2</v>
      </c>
      <c r="D131">
        <v>4</v>
      </c>
      <c r="E131">
        <v>10</v>
      </c>
      <c r="F131">
        <v>30</v>
      </c>
      <c r="G131">
        <v>50</v>
      </c>
      <c r="H131">
        <v>80</v>
      </c>
    </row>
    <row r="132" spans="1:8" x14ac:dyDescent="0.25">
      <c r="A132" t="s">
        <v>6</v>
      </c>
      <c r="B132">
        <v>413.33699999999999</v>
      </c>
      <c r="C132">
        <v>2792.7420000000002</v>
      </c>
      <c r="D132">
        <v>5326.7460000000001</v>
      </c>
      <c r="E132">
        <v>13767.531999999999</v>
      </c>
      <c r="F132">
        <v>38524.468999999997</v>
      </c>
      <c r="G132">
        <v>61116.25</v>
      </c>
      <c r="H132">
        <v>91241.039000000004</v>
      </c>
    </row>
    <row r="133" spans="1:8" x14ac:dyDescent="0.25">
      <c r="A133" t="s">
        <v>7</v>
      </c>
    </row>
    <row r="134" spans="1:8" x14ac:dyDescent="0.25">
      <c r="A134" t="s">
        <v>8</v>
      </c>
      <c r="B134">
        <v>0.99858800000000003</v>
      </c>
      <c r="C134" t="s">
        <v>9</v>
      </c>
      <c r="D134">
        <v>1151.326333</v>
      </c>
      <c r="E134" t="s">
        <v>10</v>
      </c>
      <c r="F134">
        <v>1441.164262</v>
      </c>
    </row>
    <row r="135" spans="1:8" x14ac:dyDescent="0.25">
      <c r="B135" t="s">
        <v>50</v>
      </c>
    </row>
    <row r="146" spans="1:8" x14ac:dyDescent="0.25">
      <c r="A146" t="s">
        <v>51</v>
      </c>
      <c r="B146" t="s">
        <v>0</v>
      </c>
      <c r="C146" t="s">
        <v>1</v>
      </c>
      <c r="D146" t="s">
        <v>2</v>
      </c>
      <c r="E146" t="s">
        <v>3</v>
      </c>
      <c r="F146" t="s">
        <v>4</v>
      </c>
      <c r="G146" t="s">
        <v>32</v>
      </c>
      <c r="H146" t="s">
        <v>33</v>
      </c>
    </row>
    <row r="147" spans="1:8" x14ac:dyDescent="0.25">
      <c r="A147" t="s">
        <v>5</v>
      </c>
      <c r="B147">
        <v>0.4</v>
      </c>
      <c r="C147">
        <v>2</v>
      </c>
      <c r="D147">
        <v>4</v>
      </c>
      <c r="E147">
        <v>10</v>
      </c>
      <c r="F147">
        <v>30</v>
      </c>
      <c r="G147">
        <v>50</v>
      </c>
      <c r="H147">
        <v>80</v>
      </c>
    </row>
    <row r="148" spans="1:8" x14ac:dyDescent="0.25">
      <c r="A148" t="s">
        <v>6</v>
      </c>
      <c r="B148">
        <v>24.504000000000001</v>
      </c>
      <c r="C148">
        <v>190.81100000000001</v>
      </c>
      <c r="D148">
        <v>510.70499999999998</v>
      </c>
      <c r="E148">
        <v>960.34299999999996</v>
      </c>
      <c r="F148">
        <v>3294.1260000000002</v>
      </c>
      <c r="G148">
        <v>5120.3530000000001</v>
      </c>
      <c r="H148">
        <v>7840.46</v>
      </c>
    </row>
    <row r="149" spans="1:8" x14ac:dyDescent="0.25">
      <c r="A149" t="s">
        <v>7</v>
      </c>
    </row>
    <row r="150" spans="1:8" x14ac:dyDescent="0.25">
      <c r="A150" t="s">
        <v>8</v>
      </c>
      <c r="B150">
        <v>0.99886399999999997</v>
      </c>
      <c r="C150" t="s">
        <v>9</v>
      </c>
      <c r="D150">
        <v>98.996707000000001</v>
      </c>
      <c r="E150" t="s">
        <v>10</v>
      </c>
      <c r="F150">
        <v>68.326116999999996</v>
      </c>
    </row>
    <row r="151" spans="1:8" x14ac:dyDescent="0.25">
      <c r="B151" t="s">
        <v>52</v>
      </c>
    </row>
    <row r="164" spans="1:5" x14ac:dyDescent="0.25">
      <c r="A164" t="s">
        <v>53</v>
      </c>
    </row>
    <row r="165" spans="1:5" x14ac:dyDescent="0.25">
      <c r="A165" t="s">
        <v>11</v>
      </c>
      <c r="B165" t="s">
        <v>12</v>
      </c>
      <c r="C165" t="s">
        <v>13</v>
      </c>
      <c r="D165" t="s">
        <v>14</v>
      </c>
      <c r="E165" t="s">
        <v>15</v>
      </c>
    </row>
    <row r="166" spans="1:5" x14ac:dyDescent="0.25">
      <c r="A166" t="s">
        <v>54</v>
      </c>
      <c r="B166" t="str">
        <f>"30.000"</f>
        <v>30.000</v>
      </c>
      <c r="C166">
        <v>46284.012000000002</v>
      </c>
      <c r="D166" t="str">
        <f>"30.495"</f>
        <v>30.495</v>
      </c>
      <c r="E166" t="str">
        <f>"1.65%"</f>
        <v>1.65%</v>
      </c>
    </row>
    <row r="167" spans="1:5" x14ac:dyDescent="0.25">
      <c r="A167" t="s">
        <v>55</v>
      </c>
      <c r="B167" t="str">
        <f>"30.000"</f>
        <v>30.000</v>
      </c>
      <c r="C167">
        <v>367586.78100000002</v>
      </c>
      <c r="D167" t="str">
        <f>"29.432"</f>
        <v>29.432</v>
      </c>
      <c r="E167" t="str">
        <f>"-1.89%"</f>
        <v>-1.89%</v>
      </c>
    </row>
    <row r="168" spans="1:5" x14ac:dyDescent="0.25">
      <c r="A168" t="s">
        <v>56</v>
      </c>
      <c r="B168" t="str">
        <f>"30.000"</f>
        <v>30.000</v>
      </c>
      <c r="C168">
        <v>135494.06299999999</v>
      </c>
      <c r="D168" t="str">
        <f>"29.308"</f>
        <v>29.308</v>
      </c>
      <c r="E168" t="str">
        <f>"-2.31%"</f>
        <v>-2.31%</v>
      </c>
    </row>
    <row r="169" spans="1:5" x14ac:dyDescent="0.25">
      <c r="A169" t="s">
        <v>57</v>
      </c>
      <c r="B169" t="str">
        <f>"30.000"</f>
        <v>30.000</v>
      </c>
      <c r="C169">
        <v>37014.108999999997</v>
      </c>
      <c r="D169" t="str">
        <f>"27.809"</f>
        <v>27.809</v>
      </c>
      <c r="E169" t="str">
        <f>"-7.30%"</f>
        <v>-7.30%</v>
      </c>
    </row>
    <row r="170" spans="1:5" x14ac:dyDescent="0.25">
      <c r="A170" t="s">
        <v>58</v>
      </c>
      <c r="B170" t="str">
        <f>"30.000"</f>
        <v>30.000</v>
      </c>
      <c r="C170">
        <v>19770.743999999999</v>
      </c>
      <c r="D170" t="str">
        <f>"29.509"</f>
        <v>29.509</v>
      </c>
      <c r="E170" t="str">
        <f>"-1.64%"</f>
        <v>-1.64%</v>
      </c>
    </row>
    <row r="171" spans="1:5" x14ac:dyDescent="0.25">
      <c r="A171" t="s">
        <v>59</v>
      </c>
      <c r="B171" t="str">
        <f>"30.000"</f>
        <v>30.000</v>
      </c>
      <c r="C171">
        <v>223659.25</v>
      </c>
      <c r="D171" t="str">
        <f>"29.991"</f>
        <v>29.991</v>
      </c>
      <c r="E171" t="str">
        <f>"-0.03%"</f>
        <v>-0.03%</v>
      </c>
    </row>
    <row r="172" spans="1:5" x14ac:dyDescent="0.25">
      <c r="A172" t="s">
        <v>60</v>
      </c>
      <c r="B172" t="str">
        <f>"30.000"</f>
        <v>30.000</v>
      </c>
      <c r="C172">
        <v>14252.68</v>
      </c>
      <c r="D172" t="str">
        <f>"28.763"</f>
        <v>28.763</v>
      </c>
      <c r="E172" t="str">
        <f>"-4.12%"</f>
        <v>-4.12%</v>
      </c>
    </row>
    <row r="173" spans="1:5" x14ac:dyDescent="0.25">
      <c r="A173" t="s">
        <v>61</v>
      </c>
      <c r="B173" t="str">
        <f>"30.000"</f>
        <v>30.000</v>
      </c>
      <c r="C173">
        <v>42685.586000000003</v>
      </c>
      <c r="D173" t="str">
        <f>"33.376"</f>
        <v>33.376</v>
      </c>
      <c r="E173" t="str">
        <f>"11.25%"</f>
        <v>11.25%</v>
      </c>
    </row>
    <row r="174" spans="1:5" x14ac:dyDescent="0.25">
      <c r="A174" t="s">
        <v>62</v>
      </c>
      <c r="B174" t="str">
        <f>"30.000"</f>
        <v>30.000</v>
      </c>
      <c r="C174">
        <v>38901.004000000001</v>
      </c>
      <c r="D174" t="str">
        <f>"32.536"</f>
        <v>32.536</v>
      </c>
      <c r="E174" t="str">
        <f>"8.45%"</f>
        <v>8.45%</v>
      </c>
    </row>
    <row r="175" spans="1:5" x14ac:dyDescent="0.25">
      <c r="A175" t="s">
        <v>63</v>
      </c>
      <c r="B175" t="str">
        <f>"30.000"</f>
        <v>30.000</v>
      </c>
      <c r="C175">
        <v>2622.85</v>
      </c>
      <c r="D175" t="str">
        <f>"25.804"</f>
        <v>25.804</v>
      </c>
      <c r="E175" t="str">
        <f>"-13.99%"</f>
        <v>-13.99%</v>
      </c>
    </row>
    <row r="176" spans="1:5" x14ac:dyDescent="0.25">
      <c r="A176" t="s">
        <v>16</v>
      </c>
      <c r="B176" t="s">
        <v>12</v>
      </c>
      <c r="C176" t="s">
        <v>13</v>
      </c>
      <c r="D176" t="s">
        <v>14</v>
      </c>
      <c r="E176" t="s">
        <v>15</v>
      </c>
    </row>
    <row r="177" spans="1:5" x14ac:dyDescent="0.25">
      <c r="A177" t="s">
        <v>54</v>
      </c>
      <c r="B177">
        <v>30</v>
      </c>
      <c r="C177">
        <v>47509.262000000002</v>
      </c>
      <c r="D177" t="str">
        <f>"31.322"</f>
        <v>31.322</v>
      </c>
      <c r="E177" t="str">
        <f>"4.41%"</f>
        <v>4.41%</v>
      </c>
    </row>
    <row r="178" spans="1:5" x14ac:dyDescent="0.25">
      <c r="A178" t="s">
        <v>55</v>
      </c>
      <c r="B178">
        <v>30</v>
      </c>
      <c r="C178">
        <v>369807.28100000002</v>
      </c>
      <c r="D178" t="str">
        <f>"29.609"</f>
        <v>29.609</v>
      </c>
      <c r="E178" t="str">
        <f>"-1.30%"</f>
        <v>-1.30%</v>
      </c>
    </row>
    <row r="179" spans="1:5" x14ac:dyDescent="0.25">
      <c r="A179" t="s">
        <v>56</v>
      </c>
      <c r="B179">
        <v>30</v>
      </c>
      <c r="C179">
        <v>137453.56299999999</v>
      </c>
      <c r="D179" t="str">
        <f>"29.737"</f>
        <v>29.737</v>
      </c>
      <c r="E179" t="str">
        <f>"-0.88%"</f>
        <v>-0.88%</v>
      </c>
    </row>
    <row r="180" spans="1:5" x14ac:dyDescent="0.25">
      <c r="A180" t="s">
        <v>57</v>
      </c>
      <c r="B180">
        <v>30</v>
      </c>
      <c r="C180">
        <v>36286.940999999999</v>
      </c>
      <c r="D180" t="str">
        <f>"27.270"</f>
        <v>27.270</v>
      </c>
      <c r="E180" t="str">
        <f>"-9.10%"</f>
        <v>-9.10%</v>
      </c>
    </row>
    <row r="181" spans="1:5" x14ac:dyDescent="0.25">
      <c r="A181" t="s">
        <v>58</v>
      </c>
      <c r="B181">
        <v>30</v>
      </c>
      <c r="C181">
        <v>20141.634999999998</v>
      </c>
      <c r="D181" t="str">
        <f>"30.064"</f>
        <v>30.064</v>
      </c>
      <c r="E181" t="str">
        <f>"0.21%"</f>
        <v>0.21%</v>
      </c>
    </row>
    <row r="182" spans="1:5" x14ac:dyDescent="0.25">
      <c r="A182" t="s">
        <v>59</v>
      </c>
      <c r="B182">
        <v>30</v>
      </c>
      <c r="C182">
        <v>229722.984</v>
      </c>
      <c r="D182" t="str">
        <f>"30.803"</f>
        <v>30.803</v>
      </c>
      <c r="E182" t="str">
        <f>"2.68%"</f>
        <v>2.68%</v>
      </c>
    </row>
    <row r="183" spans="1:5" x14ac:dyDescent="0.25">
      <c r="A183" t="s">
        <v>60</v>
      </c>
      <c r="B183">
        <v>30</v>
      </c>
      <c r="C183">
        <v>15240.4</v>
      </c>
      <c r="D183" t="str">
        <f>"30.749"</f>
        <v>30.749</v>
      </c>
      <c r="E183" t="str">
        <f>"2.50%"</f>
        <v>2.50%</v>
      </c>
    </row>
    <row r="184" spans="1:5" x14ac:dyDescent="0.25">
      <c r="A184" t="s">
        <v>61</v>
      </c>
      <c r="B184">
        <v>30</v>
      </c>
      <c r="C184">
        <v>41958.23</v>
      </c>
      <c r="D184" t="str">
        <f>"32.790"</f>
        <v>32.790</v>
      </c>
      <c r="E184" t="str">
        <f>"9.30%"</f>
        <v>9.30%</v>
      </c>
    </row>
    <row r="185" spans="1:5" x14ac:dyDescent="0.25">
      <c r="A185" t="s">
        <v>62</v>
      </c>
      <c r="B185">
        <v>30</v>
      </c>
      <c r="C185">
        <v>40448.366999999998</v>
      </c>
      <c r="D185" t="str">
        <f>"33.880"</f>
        <v>33.880</v>
      </c>
      <c r="E185" t="str">
        <f>"12.93%"</f>
        <v>12.93%</v>
      </c>
    </row>
    <row r="186" spans="1:5" x14ac:dyDescent="0.25">
      <c r="A186" t="s">
        <v>63</v>
      </c>
      <c r="B186">
        <v>30</v>
      </c>
      <c r="C186">
        <v>2793.53</v>
      </c>
      <c r="D186" t="str">
        <f>"27.528"</f>
        <v>27.528</v>
      </c>
      <c r="E186" t="str">
        <f>"-8.24%"</f>
        <v>-8.24%</v>
      </c>
    </row>
    <row r="187" spans="1:5" x14ac:dyDescent="0.25">
      <c r="A187" t="s">
        <v>17</v>
      </c>
      <c r="B187" t="s">
        <v>12</v>
      </c>
      <c r="C187" t="s">
        <v>13</v>
      </c>
      <c r="D187" t="s">
        <v>14</v>
      </c>
      <c r="E187" t="s">
        <v>15</v>
      </c>
    </row>
    <row r="188" spans="1:5" x14ac:dyDescent="0.25">
      <c r="A188" t="s">
        <v>54</v>
      </c>
      <c r="B188">
        <v>30</v>
      </c>
      <c r="C188">
        <v>50844.351999999999</v>
      </c>
      <c r="D188" t="str">
        <f>"33.574"</f>
        <v>33.574</v>
      </c>
      <c r="E188" t="str">
        <f>"11.91%"</f>
        <v>11.91%</v>
      </c>
    </row>
    <row r="189" spans="1:5" x14ac:dyDescent="0.25">
      <c r="A189" t="s">
        <v>55</v>
      </c>
      <c r="B189">
        <v>30</v>
      </c>
      <c r="C189">
        <v>390178.93800000002</v>
      </c>
      <c r="D189" t="str">
        <f>"31.232"</f>
        <v>31.232</v>
      </c>
      <c r="E189" t="str">
        <f>"4.11%"</f>
        <v>4.11%</v>
      </c>
    </row>
    <row r="190" spans="1:5" x14ac:dyDescent="0.25">
      <c r="A190" t="s">
        <v>56</v>
      </c>
      <c r="B190">
        <v>30</v>
      </c>
      <c r="C190">
        <v>147785.25</v>
      </c>
      <c r="D190" t="str">
        <f>"31.999"</f>
        <v>31.999</v>
      </c>
      <c r="E190" t="str">
        <f>"6.66%"</f>
        <v>6.66%</v>
      </c>
    </row>
    <row r="191" spans="1:5" x14ac:dyDescent="0.25">
      <c r="A191" t="s">
        <v>57</v>
      </c>
      <c r="B191">
        <v>30</v>
      </c>
      <c r="C191">
        <v>38028.991999999998</v>
      </c>
      <c r="D191" t="str">
        <f>"28.562"</f>
        <v>28.562</v>
      </c>
      <c r="E191" t="str">
        <f>"-4.79%"</f>
        <v>-4.79%</v>
      </c>
    </row>
    <row r="192" spans="1:5" x14ac:dyDescent="0.25">
      <c r="A192" t="s">
        <v>58</v>
      </c>
      <c r="B192">
        <v>30</v>
      </c>
      <c r="C192">
        <v>20343.197</v>
      </c>
      <c r="D192" t="str">
        <f>"30.365"</f>
        <v>30.365</v>
      </c>
      <c r="E192" t="str">
        <f>"1.22%"</f>
        <v>1.22%</v>
      </c>
    </row>
    <row r="193" spans="1:8" x14ac:dyDescent="0.25">
      <c r="A193" t="s">
        <v>59</v>
      </c>
      <c r="B193">
        <v>30</v>
      </c>
      <c r="C193">
        <v>236799.359</v>
      </c>
      <c r="D193" t="str">
        <f>"31.752"</f>
        <v>31.752</v>
      </c>
      <c r="E193" t="str">
        <f>"5.84%"</f>
        <v>5.84%</v>
      </c>
    </row>
    <row r="194" spans="1:8" x14ac:dyDescent="0.25">
      <c r="A194" t="s">
        <v>60</v>
      </c>
      <c r="B194">
        <v>30</v>
      </c>
      <c r="C194">
        <v>13770.084999999999</v>
      </c>
      <c r="D194" t="str">
        <f>"27.793"</f>
        <v>27.793</v>
      </c>
      <c r="E194" t="str">
        <f>"-7.36%"</f>
        <v>-7.36%</v>
      </c>
    </row>
    <row r="195" spans="1:8" x14ac:dyDescent="0.25">
      <c r="A195" t="s">
        <v>61</v>
      </c>
      <c r="B195">
        <v>30</v>
      </c>
      <c r="C195">
        <v>42837.555</v>
      </c>
      <c r="D195" t="str">
        <f>"33.498"</f>
        <v>33.498</v>
      </c>
      <c r="E195" t="str">
        <f>"11.66%"</f>
        <v>11.66%</v>
      </c>
    </row>
    <row r="196" spans="1:8" x14ac:dyDescent="0.25">
      <c r="A196" t="s">
        <v>62</v>
      </c>
      <c r="B196">
        <v>30</v>
      </c>
      <c r="C196">
        <v>40811.546999999999</v>
      </c>
      <c r="D196" t="str">
        <f>"34.196"</f>
        <v>34.196</v>
      </c>
      <c r="E196" t="str">
        <f>"13.99%"</f>
        <v>13.99%</v>
      </c>
    </row>
    <row r="197" spans="1:8" x14ac:dyDescent="0.25">
      <c r="A197" t="s">
        <v>63</v>
      </c>
      <c r="B197">
        <v>30</v>
      </c>
      <c r="C197">
        <v>2546.8429999999998</v>
      </c>
      <c r="D197" t="str">
        <f>"25.036"</f>
        <v>25.036</v>
      </c>
      <c r="E197" t="str">
        <f>"-16.55%"</f>
        <v>-16.55%</v>
      </c>
    </row>
    <row r="199" spans="1:8" x14ac:dyDescent="0.25">
      <c r="A199" t="s">
        <v>64</v>
      </c>
    </row>
    <row r="200" spans="1:8" x14ac:dyDescent="0.25">
      <c r="A200" t="s">
        <v>18</v>
      </c>
      <c r="B200" t="s">
        <v>19</v>
      </c>
      <c r="C200" t="s">
        <v>20</v>
      </c>
      <c r="D200" t="s">
        <v>21</v>
      </c>
      <c r="E200" t="s">
        <v>13</v>
      </c>
      <c r="F200" t="s">
        <v>22</v>
      </c>
      <c r="G200" t="s">
        <v>23</v>
      </c>
      <c r="H200" t="s">
        <v>65</v>
      </c>
    </row>
    <row r="201" spans="1:8" x14ac:dyDescent="0.25">
      <c r="A201" t="s">
        <v>54</v>
      </c>
      <c r="B201" t="s">
        <v>66</v>
      </c>
      <c r="C201">
        <v>10</v>
      </c>
      <c r="D201">
        <v>10</v>
      </c>
      <c r="E201" t="s">
        <v>67</v>
      </c>
      <c r="F201" t="s">
        <v>67</v>
      </c>
      <c r="G201" t="s">
        <v>67</v>
      </c>
      <c r="H201" t="str">
        <f>"0.010"</f>
        <v>0.010</v>
      </c>
    </row>
    <row r="202" spans="1:8" x14ac:dyDescent="0.25">
      <c r="A202" t="s">
        <v>55</v>
      </c>
      <c r="B202" t="s">
        <v>66</v>
      </c>
      <c r="C202">
        <v>10</v>
      </c>
      <c r="D202">
        <v>10</v>
      </c>
      <c r="E202" t="s">
        <v>67</v>
      </c>
      <c r="F202" t="s">
        <v>67</v>
      </c>
      <c r="G202" t="s">
        <v>67</v>
      </c>
      <c r="H202" t="str">
        <f>"0.010"</f>
        <v>0.010</v>
      </c>
    </row>
    <row r="203" spans="1:8" x14ac:dyDescent="0.25">
      <c r="A203" t="s">
        <v>56</v>
      </c>
      <c r="B203" t="s">
        <v>66</v>
      </c>
      <c r="C203">
        <v>10</v>
      </c>
      <c r="D203">
        <v>10</v>
      </c>
      <c r="E203" t="s">
        <v>67</v>
      </c>
      <c r="F203" t="s">
        <v>67</v>
      </c>
      <c r="G203" t="s">
        <v>67</v>
      </c>
      <c r="H203" t="str">
        <f>"0.010"</f>
        <v>0.010</v>
      </c>
    </row>
    <row r="204" spans="1:8" x14ac:dyDescent="0.25">
      <c r="A204" t="s">
        <v>57</v>
      </c>
      <c r="B204" t="s">
        <v>66</v>
      </c>
      <c r="C204">
        <v>10</v>
      </c>
      <c r="D204">
        <v>10</v>
      </c>
      <c r="E204" t="s">
        <v>67</v>
      </c>
      <c r="F204" t="s">
        <v>67</v>
      </c>
      <c r="G204" t="s">
        <v>67</v>
      </c>
      <c r="H204" t="str">
        <f>"0.010"</f>
        <v>0.010</v>
      </c>
    </row>
    <row r="205" spans="1:8" x14ac:dyDescent="0.25">
      <c r="A205" t="s">
        <v>58</v>
      </c>
      <c r="B205" t="s">
        <v>66</v>
      </c>
      <c r="C205">
        <v>10</v>
      </c>
      <c r="D205">
        <v>10</v>
      </c>
      <c r="E205" t="s">
        <v>67</v>
      </c>
      <c r="F205" t="s">
        <v>67</v>
      </c>
      <c r="G205" t="s">
        <v>67</v>
      </c>
      <c r="H205" t="str">
        <f>"0.010"</f>
        <v>0.010</v>
      </c>
    </row>
    <row r="206" spans="1:8" x14ac:dyDescent="0.25">
      <c r="A206" t="s">
        <v>59</v>
      </c>
      <c r="B206" t="s">
        <v>66</v>
      </c>
      <c r="C206">
        <v>10</v>
      </c>
      <c r="D206">
        <v>10</v>
      </c>
      <c r="E206" t="s">
        <v>67</v>
      </c>
      <c r="F206" t="s">
        <v>67</v>
      </c>
      <c r="G206" t="s">
        <v>67</v>
      </c>
      <c r="H206" t="str">
        <f>"0.010"</f>
        <v>0.010</v>
      </c>
    </row>
    <row r="207" spans="1:8" x14ac:dyDescent="0.25">
      <c r="A207" t="s">
        <v>60</v>
      </c>
      <c r="B207" t="s">
        <v>66</v>
      </c>
      <c r="C207">
        <v>10</v>
      </c>
      <c r="D207">
        <v>10</v>
      </c>
      <c r="E207" t="s">
        <v>67</v>
      </c>
      <c r="F207" t="s">
        <v>67</v>
      </c>
      <c r="G207" t="s">
        <v>67</v>
      </c>
      <c r="H207" t="str">
        <f>"0.010"</f>
        <v>0.010</v>
      </c>
    </row>
    <row r="208" spans="1:8" x14ac:dyDescent="0.25">
      <c r="A208" t="s">
        <v>61</v>
      </c>
      <c r="B208" t="s">
        <v>66</v>
      </c>
      <c r="C208">
        <v>10</v>
      </c>
      <c r="D208">
        <v>10</v>
      </c>
      <c r="E208" t="s">
        <v>67</v>
      </c>
      <c r="F208" t="s">
        <v>67</v>
      </c>
      <c r="G208" t="s">
        <v>67</v>
      </c>
      <c r="H208" t="str">
        <f>"0.001"</f>
        <v>0.001</v>
      </c>
    </row>
    <row r="209" spans="1:8" x14ac:dyDescent="0.25">
      <c r="A209" t="s">
        <v>62</v>
      </c>
      <c r="B209" t="s">
        <v>66</v>
      </c>
      <c r="C209">
        <v>10</v>
      </c>
      <c r="D209">
        <v>10</v>
      </c>
      <c r="E209" t="s">
        <v>67</v>
      </c>
      <c r="F209" t="s">
        <v>67</v>
      </c>
      <c r="G209" t="s">
        <v>67</v>
      </c>
      <c r="H209" t="str">
        <f>"0.010"</f>
        <v>0.010</v>
      </c>
    </row>
    <row r="210" spans="1:8" x14ac:dyDescent="0.25">
      <c r="A210" t="s">
        <v>63</v>
      </c>
      <c r="B210" t="s">
        <v>66</v>
      </c>
      <c r="C210">
        <v>10</v>
      </c>
      <c r="D210">
        <v>10</v>
      </c>
      <c r="E210" t="s">
        <v>67</v>
      </c>
      <c r="F210" t="s">
        <v>67</v>
      </c>
      <c r="G210" t="s">
        <v>67</v>
      </c>
      <c r="H210" t="str">
        <f>"0.010"</f>
        <v>0.010</v>
      </c>
    </row>
    <row r="211" spans="1:8" x14ac:dyDescent="0.25">
      <c r="A211" t="s">
        <v>68</v>
      </c>
    </row>
    <row r="213" spans="1:8" x14ac:dyDescent="0.25">
      <c r="A213" t="s">
        <v>69</v>
      </c>
    </row>
    <row r="214" spans="1:8" x14ac:dyDescent="0.25">
      <c r="A214" t="s">
        <v>70</v>
      </c>
      <c r="B214" t="s">
        <v>25</v>
      </c>
      <c r="C214" t="s">
        <v>26</v>
      </c>
      <c r="D214" t="s">
        <v>13</v>
      </c>
      <c r="E214" t="s">
        <v>14</v>
      </c>
      <c r="F214" t="s">
        <v>27</v>
      </c>
      <c r="G214" t="s">
        <v>28</v>
      </c>
      <c r="H214" t="s">
        <v>29</v>
      </c>
    </row>
    <row r="215" spans="1:8" x14ac:dyDescent="0.25">
      <c r="A215" t="s">
        <v>54</v>
      </c>
      <c r="B215">
        <v>10</v>
      </c>
      <c r="C215">
        <v>10</v>
      </c>
      <c r="D215">
        <v>48793.25</v>
      </c>
      <c r="E215" t="str">
        <f>"32.189"</f>
        <v>32.189</v>
      </c>
      <c r="F215" t="str">
        <f>"0.032"</f>
        <v>0.032</v>
      </c>
      <c r="G215">
        <v>0.03</v>
      </c>
      <c r="H215" t="str">
        <f>"107.30%"</f>
        <v>107.30%</v>
      </c>
    </row>
    <row r="216" spans="1:8" x14ac:dyDescent="0.25">
      <c r="A216" t="s">
        <v>55</v>
      </c>
      <c r="B216">
        <v>10</v>
      </c>
      <c r="C216">
        <v>10</v>
      </c>
      <c r="D216">
        <v>373779.34399999998</v>
      </c>
      <c r="E216" t="str">
        <f>"29.925"</f>
        <v>29.925</v>
      </c>
      <c r="F216" t="str">
        <f>"0.030"</f>
        <v>0.030</v>
      </c>
      <c r="G216">
        <v>0.03</v>
      </c>
      <c r="H216" t="str">
        <f>"99.75%"</f>
        <v>99.75%</v>
      </c>
    </row>
    <row r="217" spans="1:8" x14ac:dyDescent="0.25">
      <c r="A217" t="s">
        <v>56</v>
      </c>
      <c r="B217">
        <v>10</v>
      </c>
      <c r="C217">
        <v>10</v>
      </c>
      <c r="D217">
        <v>138838.04699999999</v>
      </c>
      <c r="E217" t="str">
        <f>"30.040"</f>
        <v>30.040</v>
      </c>
      <c r="F217" t="str">
        <f>"0.030"</f>
        <v>0.030</v>
      </c>
      <c r="G217">
        <v>0.03</v>
      </c>
      <c r="H217" t="str">
        <f>"100.13%"</f>
        <v>100.13%</v>
      </c>
    </row>
    <row r="218" spans="1:8" x14ac:dyDescent="0.25">
      <c r="A218" t="s">
        <v>57</v>
      </c>
      <c r="B218">
        <v>10</v>
      </c>
      <c r="C218">
        <v>10</v>
      </c>
      <c r="D218">
        <v>37147.703000000001</v>
      </c>
      <c r="E218" t="str">
        <f>"27.909"</f>
        <v>27.909</v>
      </c>
      <c r="F218" t="str">
        <f>"0.028"</f>
        <v>0.028</v>
      </c>
      <c r="G218">
        <v>0.03</v>
      </c>
      <c r="H218" t="str">
        <f>"93.03%"</f>
        <v>93.03%</v>
      </c>
    </row>
    <row r="219" spans="1:8" x14ac:dyDescent="0.25">
      <c r="A219" t="s">
        <v>58</v>
      </c>
      <c r="B219">
        <v>10</v>
      </c>
      <c r="C219">
        <v>10</v>
      </c>
      <c r="D219">
        <v>19672.465</v>
      </c>
      <c r="E219" t="str">
        <f>"29.362"</f>
        <v>29.362</v>
      </c>
      <c r="F219" t="str">
        <f>"0.029"</f>
        <v>0.029</v>
      </c>
      <c r="G219">
        <v>0.03</v>
      </c>
      <c r="H219" t="str">
        <f>"97.87%"</f>
        <v>97.87%</v>
      </c>
    </row>
    <row r="220" spans="1:8" x14ac:dyDescent="0.25">
      <c r="A220" t="s">
        <v>59</v>
      </c>
      <c r="B220">
        <v>10</v>
      </c>
      <c r="C220">
        <v>10</v>
      </c>
      <c r="D220">
        <v>228078.53099999999</v>
      </c>
      <c r="E220" t="str">
        <f>"30.583"</f>
        <v>30.583</v>
      </c>
      <c r="F220" t="str">
        <f>"0.031"</f>
        <v>0.031</v>
      </c>
      <c r="G220">
        <v>0.03</v>
      </c>
      <c r="H220" t="str">
        <f>"101.94%"</f>
        <v>101.94%</v>
      </c>
    </row>
    <row r="221" spans="1:8" x14ac:dyDescent="0.25">
      <c r="A221" t="s">
        <v>60</v>
      </c>
      <c r="B221">
        <v>10</v>
      </c>
      <c r="C221">
        <v>10</v>
      </c>
      <c r="D221">
        <v>14965.468000000001</v>
      </c>
      <c r="E221" t="str">
        <f>"30.196"</f>
        <v>30.196</v>
      </c>
      <c r="F221" t="str">
        <f>"0.030"</f>
        <v>0.030</v>
      </c>
      <c r="G221">
        <v>0.03</v>
      </c>
      <c r="H221" t="str">
        <f>"100.65%"</f>
        <v>100.65%</v>
      </c>
    </row>
    <row r="222" spans="1:8" x14ac:dyDescent="0.25">
      <c r="A222" t="s">
        <v>61</v>
      </c>
      <c r="B222">
        <v>10</v>
      </c>
      <c r="C222">
        <v>10</v>
      </c>
      <c r="D222">
        <v>43041.832000000002</v>
      </c>
      <c r="E222" t="str">
        <f>"33.663"</f>
        <v>33.663</v>
      </c>
      <c r="F222" t="str">
        <f>"0.034"</f>
        <v>0.034</v>
      </c>
      <c r="G222">
        <v>0.03</v>
      </c>
      <c r="H222" t="str">
        <f>"112.21%"</f>
        <v>112.21%</v>
      </c>
    </row>
    <row r="223" spans="1:8" x14ac:dyDescent="0.25">
      <c r="A223" t="s">
        <v>62</v>
      </c>
      <c r="B223">
        <v>10</v>
      </c>
      <c r="C223">
        <v>10</v>
      </c>
      <c r="D223">
        <v>39669.722999999998</v>
      </c>
      <c r="E223" t="str">
        <f>"33.204"</f>
        <v>33.204</v>
      </c>
      <c r="F223" t="str">
        <f>"0.033"</f>
        <v>0.033</v>
      </c>
      <c r="G223">
        <v>0.03</v>
      </c>
      <c r="H223" t="str">
        <f>"110.68%"</f>
        <v>110.68%</v>
      </c>
    </row>
    <row r="224" spans="1:8" x14ac:dyDescent="0.25">
      <c r="A224" t="s">
        <v>63</v>
      </c>
      <c r="B224">
        <v>10</v>
      </c>
      <c r="C224">
        <v>10</v>
      </c>
      <c r="D224">
        <v>2826.4140000000002</v>
      </c>
      <c r="E224" t="str">
        <f>"27.860"</f>
        <v>27.860</v>
      </c>
      <c r="F224" t="str">
        <f>"0.028"</f>
        <v>0.028</v>
      </c>
      <c r="G224">
        <v>0.03</v>
      </c>
      <c r="H224" t="str">
        <f>"92.87%"</f>
        <v>92.87%</v>
      </c>
    </row>
    <row r="226" spans="1:12" x14ac:dyDescent="0.25">
      <c r="A226" t="s">
        <v>71</v>
      </c>
    </row>
    <row r="227" spans="1:12" x14ac:dyDescent="0.25">
      <c r="A227" t="s">
        <v>18</v>
      </c>
      <c r="B227" t="s">
        <v>72</v>
      </c>
      <c r="G227" t="s">
        <v>73</v>
      </c>
      <c r="L227" t="s">
        <v>74</v>
      </c>
    </row>
    <row r="228" spans="1:12" x14ac:dyDescent="0.25">
      <c r="B228" t="s">
        <v>25</v>
      </c>
      <c r="C228" t="s">
        <v>26</v>
      </c>
      <c r="D228" t="s">
        <v>13</v>
      </c>
      <c r="E228" t="s">
        <v>14</v>
      </c>
      <c r="F228" t="s">
        <v>27</v>
      </c>
      <c r="G228" t="s">
        <v>25</v>
      </c>
      <c r="H228" t="s">
        <v>26</v>
      </c>
      <c r="I228" t="s">
        <v>13</v>
      </c>
      <c r="J228" t="s">
        <v>14</v>
      </c>
      <c r="K228" t="s">
        <v>27</v>
      </c>
    </row>
    <row r="229" spans="1:12" x14ac:dyDescent="0.25">
      <c r="A229" t="s">
        <v>54</v>
      </c>
      <c r="B229">
        <v>10</v>
      </c>
      <c r="C229">
        <v>10</v>
      </c>
      <c r="D229">
        <v>48793.25</v>
      </c>
      <c r="E229" t="str">
        <f>"32.189"</f>
        <v>32.189</v>
      </c>
      <c r="F229" t="str">
        <f>"0.032"</f>
        <v>0.032</v>
      </c>
      <c r="G229">
        <v>10</v>
      </c>
      <c r="H229">
        <v>10</v>
      </c>
      <c r="I229">
        <v>49533.766000000003</v>
      </c>
      <c r="J229" t="str">
        <f>"32.689"</f>
        <v>32.689</v>
      </c>
      <c r="K229" t="str">
        <f>"0.033"</f>
        <v>0.033</v>
      </c>
      <c r="L229" t="str">
        <f>"1.54%"</f>
        <v>1.54%</v>
      </c>
    </row>
    <row r="230" spans="1:12" x14ac:dyDescent="0.25">
      <c r="A230" t="s">
        <v>55</v>
      </c>
      <c r="B230">
        <v>10</v>
      </c>
      <c r="C230">
        <v>10</v>
      </c>
      <c r="D230">
        <v>373779.34399999998</v>
      </c>
      <c r="E230" t="str">
        <f>"29.925"</f>
        <v>29.925</v>
      </c>
      <c r="F230" t="str">
        <f>"0.030"</f>
        <v>0.030</v>
      </c>
      <c r="G230">
        <v>10</v>
      </c>
      <c r="H230">
        <v>10</v>
      </c>
      <c r="I230">
        <v>384839.78100000002</v>
      </c>
      <c r="J230" t="str">
        <f>"30.807"</f>
        <v>30.807</v>
      </c>
      <c r="K230" t="str">
        <f>"0.031"</f>
        <v>0.031</v>
      </c>
      <c r="L230" t="str">
        <f>"2.90%"</f>
        <v>2.90%</v>
      </c>
    </row>
    <row r="231" spans="1:12" x14ac:dyDescent="0.25">
      <c r="A231" t="s">
        <v>56</v>
      </c>
      <c r="B231">
        <v>10</v>
      </c>
      <c r="C231">
        <v>10</v>
      </c>
      <c r="D231">
        <v>138838.04699999999</v>
      </c>
      <c r="E231" t="str">
        <f>"30.040"</f>
        <v>30.040</v>
      </c>
      <c r="F231" t="str">
        <f>"0.030"</f>
        <v>0.030</v>
      </c>
      <c r="G231">
        <v>10</v>
      </c>
      <c r="H231">
        <v>10</v>
      </c>
      <c r="I231">
        <v>144473.641</v>
      </c>
      <c r="J231" t="str">
        <f>"31.274"</f>
        <v>31.274</v>
      </c>
      <c r="K231" t="str">
        <f>"0.031"</f>
        <v>0.031</v>
      </c>
      <c r="L231" t="str">
        <f>"4.02%"</f>
        <v>4.02%</v>
      </c>
    </row>
    <row r="232" spans="1:12" x14ac:dyDescent="0.25">
      <c r="A232" t="s">
        <v>57</v>
      </c>
      <c r="B232">
        <v>10</v>
      </c>
      <c r="C232">
        <v>10</v>
      </c>
      <c r="D232">
        <v>37147.703000000001</v>
      </c>
      <c r="E232" t="str">
        <f>"27.909"</f>
        <v>27.909</v>
      </c>
      <c r="F232" t="str">
        <f>"0.028"</f>
        <v>0.028</v>
      </c>
      <c r="G232">
        <v>10</v>
      </c>
      <c r="H232">
        <v>10</v>
      </c>
      <c r="I232">
        <v>36651.714999999997</v>
      </c>
      <c r="J232" t="str">
        <f>"27.541"</f>
        <v>27.541</v>
      </c>
      <c r="K232" t="str">
        <f>"0.028"</f>
        <v>0.028</v>
      </c>
      <c r="L232" t="str">
        <f>"1.33%"</f>
        <v>1.33%</v>
      </c>
    </row>
    <row r="233" spans="1:12" x14ac:dyDescent="0.25">
      <c r="A233" t="s">
        <v>58</v>
      </c>
      <c r="B233">
        <v>10</v>
      </c>
      <c r="C233">
        <v>10</v>
      </c>
      <c r="D233">
        <v>19672.465</v>
      </c>
      <c r="E233" t="str">
        <f>"29.362"</f>
        <v>29.362</v>
      </c>
      <c r="F233" t="str">
        <f>"0.029"</f>
        <v>0.029</v>
      </c>
      <c r="G233">
        <v>10</v>
      </c>
      <c r="H233">
        <v>10</v>
      </c>
      <c r="I233">
        <v>20930.684000000001</v>
      </c>
      <c r="J233" t="str">
        <f>"31.245"</f>
        <v>31.245</v>
      </c>
      <c r="K233" t="str">
        <f>"0.031"</f>
        <v>0.031</v>
      </c>
      <c r="L233" t="str">
        <f>"6.21%"</f>
        <v>6.21%</v>
      </c>
    </row>
    <row r="234" spans="1:12" x14ac:dyDescent="0.25">
      <c r="A234" t="s">
        <v>59</v>
      </c>
      <c r="B234">
        <v>10</v>
      </c>
      <c r="C234">
        <v>10</v>
      </c>
      <c r="D234">
        <v>228078.53099999999</v>
      </c>
      <c r="E234" t="str">
        <f>"30.583"</f>
        <v>30.583</v>
      </c>
      <c r="F234" t="str">
        <f>"0.031"</f>
        <v>0.031</v>
      </c>
      <c r="G234">
        <v>10</v>
      </c>
      <c r="H234">
        <v>10</v>
      </c>
      <c r="I234">
        <v>236720.484</v>
      </c>
      <c r="J234" t="str">
        <f>"31.741"</f>
        <v>31.741</v>
      </c>
      <c r="K234" t="str">
        <f>"0.032"</f>
        <v>0.032</v>
      </c>
      <c r="L234" t="str">
        <f>"3.72%"</f>
        <v>3.72%</v>
      </c>
    </row>
    <row r="235" spans="1:12" x14ac:dyDescent="0.25">
      <c r="A235" t="s">
        <v>60</v>
      </c>
      <c r="B235">
        <v>10</v>
      </c>
      <c r="C235">
        <v>10</v>
      </c>
      <c r="D235">
        <v>14965.468000000001</v>
      </c>
      <c r="E235" t="str">
        <f>"30.196"</f>
        <v>30.196</v>
      </c>
      <c r="F235" t="str">
        <f>"0.030"</f>
        <v>0.030</v>
      </c>
      <c r="G235">
        <v>10</v>
      </c>
      <c r="H235">
        <v>10</v>
      </c>
      <c r="I235">
        <v>15012.31</v>
      </c>
      <c r="J235" t="str">
        <f>"30.290"</f>
        <v>30.290</v>
      </c>
      <c r="K235" t="str">
        <f>"0.030"</f>
        <v>0.030</v>
      </c>
      <c r="L235" t="str">
        <f>"0.31%"</f>
        <v>0.31%</v>
      </c>
    </row>
    <row r="236" spans="1:12" x14ac:dyDescent="0.25">
      <c r="A236" t="s">
        <v>61</v>
      </c>
      <c r="B236">
        <v>10</v>
      </c>
      <c r="C236">
        <v>10</v>
      </c>
      <c r="D236">
        <v>43041.832000000002</v>
      </c>
      <c r="E236" t="str">
        <f>"33.663"</f>
        <v>33.663</v>
      </c>
      <c r="F236" t="str">
        <f>"0.034"</f>
        <v>0.034</v>
      </c>
      <c r="G236">
        <v>10</v>
      </c>
      <c r="H236">
        <v>10</v>
      </c>
      <c r="I236">
        <v>42879.91</v>
      </c>
      <c r="J236" t="str">
        <f>"33.532"</f>
        <v>33.532</v>
      </c>
      <c r="K236" t="str">
        <f>"0.034"</f>
        <v>0.034</v>
      </c>
      <c r="L236" t="str">
        <f>"0.39%"</f>
        <v>0.39%</v>
      </c>
    </row>
    <row r="237" spans="1:12" x14ac:dyDescent="0.25">
      <c r="A237" t="s">
        <v>62</v>
      </c>
      <c r="B237">
        <v>10</v>
      </c>
      <c r="C237">
        <v>10</v>
      </c>
      <c r="D237">
        <v>39669.722999999998</v>
      </c>
      <c r="E237" t="str">
        <f>"33.204"</f>
        <v>33.204</v>
      </c>
      <c r="F237" t="str">
        <f>"0.033"</f>
        <v>0.033</v>
      </c>
      <c r="G237">
        <v>10</v>
      </c>
      <c r="H237">
        <v>10</v>
      </c>
      <c r="I237">
        <v>40976.32</v>
      </c>
      <c r="J237" t="str">
        <f>"34.339"</f>
        <v>34.339</v>
      </c>
      <c r="K237" t="str">
        <f>"0.034"</f>
        <v>0.034</v>
      </c>
      <c r="L237" t="str">
        <f>"3.36%"</f>
        <v>3.36%</v>
      </c>
    </row>
    <row r="238" spans="1:12" x14ac:dyDescent="0.25">
      <c r="A238" t="s">
        <v>63</v>
      </c>
      <c r="B238">
        <v>10</v>
      </c>
      <c r="C238">
        <v>10</v>
      </c>
      <c r="D238">
        <v>2826.4140000000002</v>
      </c>
      <c r="E238" t="str">
        <f>"27.860"</f>
        <v>27.860</v>
      </c>
      <c r="F238" t="str">
        <f>"0.028"</f>
        <v>0.028</v>
      </c>
      <c r="G238">
        <v>10</v>
      </c>
      <c r="H238">
        <v>10</v>
      </c>
      <c r="I238">
        <v>2427.011</v>
      </c>
      <c r="J238" t="str">
        <f>"23.826"</f>
        <v>23.826</v>
      </c>
      <c r="K238" t="str">
        <f>"0.024"</f>
        <v>0.024</v>
      </c>
      <c r="L238" t="str">
        <f>"15.61%"</f>
        <v>15.61%</v>
      </c>
    </row>
    <row r="241" spans="1:8" x14ac:dyDescent="0.25">
      <c r="A241" t="s">
        <v>75</v>
      </c>
    </row>
    <row r="242" spans="1:8" x14ac:dyDescent="0.25">
      <c r="A242" t="s">
        <v>76</v>
      </c>
      <c r="B242" t="s">
        <v>0</v>
      </c>
      <c r="C242" t="s">
        <v>1</v>
      </c>
      <c r="D242" t="s">
        <v>2</v>
      </c>
      <c r="E242" t="s">
        <v>3</v>
      </c>
      <c r="F242" t="s">
        <v>4</v>
      </c>
      <c r="G242" t="s">
        <v>32</v>
      </c>
      <c r="H242" t="s">
        <v>33</v>
      </c>
    </row>
    <row r="243" spans="1:8" x14ac:dyDescent="0.25">
      <c r="A243" t="s">
        <v>5</v>
      </c>
      <c r="B243">
        <v>0.4</v>
      </c>
      <c r="C243">
        <v>2</v>
      </c>
      <c r="D243">
        <v>4</v>
      </c>
      <c r="E243">
        <v>10</v>
      </c>
      <c r="F243">
        <v>30</v>
      </c>
      <c r="G243">
        <v>50</v>
      </c>
      <c r="H243">
        <v>80</v>
      </c>
    </row>
    <row r="244" spans="1:8" x14ac:dyDescent="0.25">
      <c r="A244" t="s">
        <v>6</v>
      </c>
      <c r="B244">
        <v>139.142</v>
      </c>
      <c r="C244">
        <v>958.41300000000001</v>
      </c>
      <c r="D244">
        <v>2132.8359999999998</v>
      </c>
      <c r="E244">
        <v>4962.9960000000001</v>
      </c>
      <c r="F244">
        <v>14909.138999999999</v>
      </c>
      <c r="G244">
        <v>25527.815999999999</v>
      </c>
      <c r="H244">
        <v>39995.133000000002</v>
      </c>
    </row>
    <row r="245" spans="1:8" x14ac:dyDescent="0.25">
      <c r="A245" t="s">
        <v>7</v>
      </c>
    </row>
    <row r="246" spans="1:8" x14ac:dyDescent="0.25">
      <c r="A246" t="s">
        <v>8</v>
      </c>
      <c r="B246">
        <v>0.99990699999999999</v>
      </c>
      <c r="C246" t="s">
        <v>9</v>
      </c>
      <c r="D246">
        <v>502.30277699999999</v>
      </c>
      <c r="E246" t="s">
        <v>10</v>
      </c>
      <c r="F246">
        <v>2.752167</v>
      </c>
    </row>
    <row r="247" spans="1:8" x14ac:dyDescent="0.25">
      <c r="B247" t="s">
        <v>77</v>
      </c>
    </row>
    <row r="258" spans="1:8" x14ac:dyDescent="0.25">
      <c r="A258" t="s">
        <v>78</v>
      </c>
      <c r="B258" t="s">
        <v>0</v>
      </c>
      <c r="C258" t="s">
        <v>1</v>
      </c>
      <c r="D258" t="s">
        <v>2</v>
      </c>
      <c r="E258" t="s">
        <v>3</v>
      </c>
      <c r="F258" t="s">
        <v>4</v>
      </c>
      <c r="G258" t="s">
        <v>32</v>
      </c>
      <c r="H258" t="s">
        <v>33</v>
      </c>
    </row>
    <row r="259" spans="1:8" x14ac:dyDescent="0.25">
      <c r="A259" t="s">
        <v>5</v>
      </c>
      <c r="B259">
        <v>0.4</v>
      </c>
      <c r="C259">
        <v>2</v>
      </c>
      <c r="D259">
        <v>4</v>
      </c>
      <c r="E259">
        <v>10</v>
      </c>
      <c r="F259">
        <v>30</v>
      </c>
      <c r="G259">
        <v>50</v>
      </c>
      <c r="H259">
        <v>80</v>
      </c>
    </row>
    <row r="260" spans="1:8" x14ac:dyDescent="0.25">
      <c r="A260" t="s">
        <v>6</v>
      </c>
      <c r="B260">
        <v>97.418000000000006</v>
      </c>
      <c r="C260">
        <v>679.24199999999996</v>
      </c>
      <c r="D260">
        <v>1321.7529999999999</v>
      </c>
      <c r="E260">
        <v>3689.2559999999999</v>
      </c>
      <c r="F260">
        <v>10416.941999999999</v>
      </c>
      <c r="G260">
        <v>17617.664000000001</v>
      </c>
      <c r="H260">
        <v>28903.175999999999</v>
      </c>
    </row>
    <row r="261" spans="1:8" x14ac:dyDescent="0.25">
      <c r="A261" t="s">
        <v>7</v>
      </c>
    </row>
    <row r="262" spans="1:8" x14ac:dyDescent="0.25">
      <c r="A262" t="s">
        <v>8</v>
      </c>
      <c r="B262">
        <v>0.99982899999999997</v>
      </c>
      <c r="C262" t="s">
        <v>9</v>
      </c>
      <c r="D262">
        <v>359.558784</v>
      </c>
      <c r="E262" t="s">
        <v>10</v>
      </c>
      <c r="F262">
        <v>-100.102655</v>
      </c>
    </row>
    <row r="263" spans="1:8" x14ac:dyDescent="0.25">
      <c r="B263" t="s">
        <v>79</v>
      </c>
    </row>
    <row r="274" spans="1:8" x14ac:dyDescent="0.25">
      <c r="A274" t="s">
        <v>80</v>
      </c>
      <c r="B274" t="s">
        <v>0</v>
      </c>
      <c r="C274" t="s">
        <v>1</v>
      </c>
      <c r="D274" t="s">
        <v>2</v>
      </c>
      <c r="E274" t="s">
        <v>3</v>
      </c>
      <c r="F274" t="s">
        <v>4</v>
      </c>
      <c r="G274" t="s">
        <v>32</v>
      </c>
      <c r="H274" t="s">
        <v>33</v>
      </c>
    </row>
    <row r="275" spans="1:8" x14ac:dyDescent="0.25">
      <c r="A275" t="s">
        <v>5</v>
      </c>
      <c r="B275">
        <v>0.4</v>
      </c>
      <c r="C275">
        <v>2</v>
      </c>
      <c r="D275">
        <v>4</v>
      </c>
      <c r="E275">
        <v>10</v>
      </c>
      <c r="F275">
        <v>30</v>
      </c>
      <c r="G275">
        <v>50</v>
      </c>
      <c r="H275">
        <v>80</v>
      </c>
    </row>
    <row r="276" spans="1:8" x14ac:dyDescent="0.25">
      <c r="A276" t="s">
        <v>6</v>
      </c>
      <c r="B276">
        <v>723.09400000000005</v>
      </c>
      <c r="C276">
        <v>3318.538</v>
      </c>
      <c r="D276">
        <v>6798.1170000000002</v>
      </c>
      <c r="E276">
        <v>16457.328000000001</v>
      </c>
      <c r="F276">
        <v>47257.137000000002</v>
      </c>
      <c r="G276">
        <v>76248.312999999995</v>
      </c>
      <c r="H276">
        <v>118276.086</v>
      </c>
    </row>
    <row r="277" spans="1:8" x14ac:dyDescent="0.25">
      <c r="A277" t="s">
        <v>7</v>
      </c>
    </row>
    <row r="278" spans="1:8" x14ac:dyDescent="0.25">
      <c r="A278" t="s">
        <v>8</v>
      </c>
      <c r="B278">
        <v>0.99967799999999996</v>
      </c>
      <c r="C278" t="s">
        <v>9</v>
      </c>
      <c r="D278">
        <v>1481.3343219999999</v>
      </c>
      <c r="E278" t="s">
        <v>10</v>
      </c>
      <c r="F278">
        <v>1110.176937</v>
      </c>
    </row>
    <row r="279" spans="1:8" x14ac:dyDescent="0.25">
      <c r="B279" t="s">
        <v>34</v>
      </c>
    </row>
    <row r="290" spans="1:8" x14ac:dyDescent="0.25">
      <c r="A290" t="s">
        <v>81</v>
      </c>
      <c r="B290" t="s">
        <v>0</v>
      </c>
      <c r="C290" t="s">
        <v>1</v>
      </c>
      <c r="D290" t="s">
        <v>2</v>
      </c>
      <c r="E290" t="s">
        <v>3</v>
      </c>
      <c r="F290" t="s">
        <v>4</v>
      </c>
      <c r="G290" t="s">
        <v>32</v>
      </c>
      <c r="H290" t="s">
        <v>33</v>
      </c>
    </row>
    <row r="291" spans="1:8" x14ac:dyDescent="0.25">
      <c r="A291" t="s">
        <v>5</v>
      </c>
      <c r="B291">
        <v>0.4</v>
      </c>
      <c r="C291">
        <v>2</v>
      </c>
      <c r="D291">
        <v>4</v>
      </c>
      <c r="E291">
        <v>10</v>
      </c>
      <c r="F291">
        <v>30</v>
      </c>
      <c r="G291">
        <v>50</v>
      </c>
      <c r="H291">
        <v>80</v>
      </c>
    </row>
    <row r="292" spans="1:8" x14ac:dyDescent="0.25">
      <c r="A292" t="s">
        <v>6</v>
      </c>
      <c r="B292">
        <v>67.543999999999997</v>
      </c>
      <c r="C292">
        <v>89.069000000000003</v>
      </c>
      <c r="D292">
        <v>408.09899999999999</v>
      </c>
      <c r="E292">
        <v>1015.768</v>
      </c>
      <c r="F292">
        <v>3462.3919999999998</v>
      </c>
      <c r="G292">
        <v>5552.0940000000001</v>
      </c>
      <c r="H292">
        <v>9053.5079999999998</v>
      </c>
    </row>
    <row r="293" spans="1:8" x14ac:dyDescent="0.25">
      <c r="A293" t="s">
        <v>7</v>
      </c>
    </row>
    <row r="294" spans="1:8" x14ac:dyDescent="0.25">
      <c r="A294" t="s">
        <v>8</v>
      </c>
      <c r="B294">
        <v>0.99975400000000003</v>
      </c>
      <c r="C294" t="s">
        <v>9</v>
      </c>
      <c r="D294">
        <v>113.721358</v>
      </c>
      <c r="E294" t="s">
        <v>10</v>
      </c>
      <c r="F294">
        <v>-58.853357000000003</v>
      </c>
    </row>
    <row r="295" spans="1:8" x14ac:dyDescent="0.25">
      <c r="B295" t="s">
        <v>82</v>
      </c>
    </row>
    <row r="306" spans="1:8" x14ac:dyDescent="0.25">
      <c r="A306" t="s">
        <v>83</v>
      </c>
      <c r="B306" t="s">
        <v>0</v>
      </c>
      <c r="C306" t="s">
        <v>1</v>
      </c>
      <c r="D306" t="s">
        <v>2</v>
      </c>
      <c r="E306" t="s">
        <v>3</v>
      </c>
      <c r="F306" t="s">
        <v>4</v>
      </c>
      <c r="G306" t="s">
        <v>32</v>
      </c>
      <c r="H306" t="s">
        <v>33</v>
      </c>
    </row>
    <row r="307" spans="1:8" x14ac:dyDescent="0.25">
      <c r="A307" t="s">
        <v>5</v>
      </c>
      <c r="B307">
        <v>0.4</v>
      </c>
      <c r="C307">
        <v>2</v>
      </c>
      <c r="D307">
        <v>4</v>
      </c>
      <c r="E307">
        <v>10</v>
      </c>
      <c r="F307">
        <v>30</v>
      </c>
      <c r="G307">
        <v>50</v>
      </c>
      <c r="H307">
        <v>80</v>
      </c>
    </row>
    <row r="308" spans="1:8" x14ac:dyDescent="0.25">
      <c r="A308" t="s">
        <v>6</v>
      </c>
      <c r="B308">
        <v>353.61099999999999</v>
      </c>
      <c r="C308">
        <v>1623.1389999999999</v>
      </c>
      <c r="D308">
        <v>3568.1120000000001</v>
      </c>
      <c r="E308">
        <v>9037.6209999999992</v>
      </c>
      <c r="F308">
        <v>25700.530999999999</v>
      </c>
      <c r="G308">
        <v>44568.535000000003</v>
      </c>
      <c r="H308">
        <v>71394.797000000006</v>
      </c>
    </row>
    <row r="309" spans="1:8" x14ac:dyDescent="0.25">
      <c r="A309" t="s">
        <v>7</v>
      </c>
    </row>
    <row r="310" spans="1:8" x14ac:dyDescent="0.25">
      <c r="A310" t="s">
        <v>8</v>
      </c>
      <c r="B310">
        <v>0.99988600000000005</v>
      </c>
      <c r="C310" t="s">
        <v>9</v>
      </c>
      <c r="D310">
        <v>891.64600900000005</v>
      </c>
      <c r="E310" t="s">
        <v>10</v>
      </c>
      <c r="F310">
        <v>-148.57285300000001</v>
      </c>
    </row>
    <row r="311" spans="1:8" x14ac:dyDescent="0.25">
      <c r="B311" t="s">
        <v>84</v>
      </c>
    </row>
    <row r="322" spans="1:8" x14ac:dyDescent="0.25">
      <c r="A322" t="s">
        <v>85</v>
      </c>
      <c r="B322" t="s">
        <v>0</v>
      </c>
      <c r="C322" t="s">
        <v>1</v>
      </c>
      <c r="D322" t="s">
        <v>2</v>
      </c>
      <c r="E322" t="s">
        <v>3</v>
      </c>
      <c r="F322" t="s">
        <v>4</v>
      </c>
      <c r="G322" t="s">
        <v>32</v>
      </c>
      <c r="H322" t="s">
        <v>33</v>
      </c>
    </row>
    <row r="323" spans="1:8" x14ac:dyDescent="0.25">
      <c r="A323" t="s">
        <v>5</v>
      </c>
      <c r="B323">
        <v>0.4</v>
      </c>
      <c r="C323">
        <v>2</v>
      </c>
      <c r="D323">
        <v>4</v>
      </c>
      <c r="E323">
        <v>10</v>
      </c>
      <c r="F323">
        <v>30</v>
      </c>
      <c r="G323">
        <v>50</v>
      </c>
      <c r="H323">
        <v>80</v>
      </c>
    </row>
    <row r="324" spans="1:8" x14ac:dyDescent="0.25">
      <c r="A324" t="s">
        <v>6</v>
      </c>
      <c r="B324">
        <v>220.85</v>
      </c>
      <c r="C324">
        <v>1389.5920000000001</v>
      </c>
      <c r="D324">
        <v>2756.4650000000001</v>
      </c>
      <c r="E324">
        <v>7630.9989999999998</v>
      </c>
      <c r="F324">
        <v>21509.873</v>
      </c>
      <c r="G324">
        <v>36345.754000000001</v>
      </c>
      <c r="H324">
        <v>61622.453000000001</v>
      </c>
    </row>
    <row r="325" spans="1:8" x14ac:dyDescent="0.25">
      <c r="A325" t="s">
        <v>7</v>
      </c>
    </row>
    <row r="326" spans="1:8" x14ac:dyDescent="0.25">
      <c r="A326" t="s">
        <v>8</v>
      </c>
      <c r="B326">
        <v>0.99933700000000003</v>
      </c>
      <c r="C326" t="s">
        <v>9</v>
      </c>
      <c r="D326">
        <v>761.54886599999998</v>
      </c>
      <c r="E326" t="s">
        <v>10</v>
      </c>
      <c r="F326">
        <v>-408.74771500000003</v>
      </c>
    </row>
    <row r="327" spans="1:8" x14ac:dyDescent="0.25">
      <c r="B327" t="s">
        <v>86</v>
      </c>
    </row>
    <row r="338" spans="1:8" x14ac:dyDescent="0.25">
      <c r="A338" t="s">
        <v>87</v>
      </c>
      <c r="B338" t="s">
        <v>0</v>
      </c>
      <c r="C338" t="s">
        <v>1</v>
      </c>
      <c r="D338" t="s">
        <v>2</v>
      </c>
      <c r="E338" t="s">
        <v>3</v>
      </c>
      <c r="F338" t="s">
        <v>4</v>
      </c>
      <c r="G338" t="s">
        <v>32</v>
      </c>
      <c r="H338" t="s">
        <v>33</v>
      </c>
    </row>
    <row r="339" spans="1:8" x14ac:dyDescent="0.25">
      <c r="A339" t="s">
        <v>5</v>
      </c>
      <c r="B339">
        <v>0.4</v>
      </c>
      <c r="C339">
        <v>2</v>
      </c>
      <c r="D339">
        <v>4</v>
      </c>
      <c r="E339">
        <v>10</v>
      </c>
      <c r="F339">
        <v>30</v>
      </c>
      <c r="G339">
        <v>50</v>
      </c>
      <c r="H339">
        <v>80</v>
      </c>
    </row>
    <row r="340" spans="1:8" x14ac:dyDescent="0.25">
      <c r="A340" t="s">
        <v>6</v>
      </c>
      <c r="B340">
        <v>151.30699999999999</v>
      </c>
      <c r="C340">
        <v>914.43100000000004</v>
      </c>
      <c r="D340">
        <v>2025.5160000000001</v>
      </c>
      <c r="E340">
        <v>4940.241</v>
      </c>
      <c r="F340">
        <v>14126.646000000001</v>
      </c>
      <c r="G340">
        <v>24302.41</v>
      </c>
      <c r="H340">
        <v>38150.813000000002</v>
      </c>
    </row>
    <row r="341" spans="1:8" x14ac:dyDescent="0.25">
      <c r="A341" t="s">
        <v>7</v>
      </c>
    </row>
    <row r="342" spans="1:8" x14ac:dyDescent="0.25">
      <c r="A342" t="s">
        <v>8</v>
      </c>
      <c r="B342">
        <v>0.99990199999999996</v>
      </c>
      <c r="C342" t="s">
        <v>9</v>
      </c>
      <c r="D342">
        <v>478.215487</v>
      </c>
      <c r="E342" t="s">
        <v>10</v>
      </c>
      <c r="F342">
        <v>36.307439000000002</v>
      </c>
    </row>
    <row r="343" spans="1:8" x14ac:dyDescent="0.25">
      <c r="B343" t="s">
        <v>88</v>
      </c>
    </row>
    <row r="354" spans="1:8" x14ac:dyDescent="0.25">
      <c r="A354" t="s">
        <v>89</v>
      </c>
      <c r="B354" t="s">
        <v>0</v>
      </c>
      <c r="C354" t="s">
        <v>1</v>
      </c>
      <c r="D354" t="s">
        <v>2</v>
      </c>
      <c r="E354" t="s">
        <v>3</v>
      </c>
      <c r="F354" t="s">
        <v>4</v>
      </c>
      <c r="G354" t="s">
        <v>32</v>
      </c>
      <c r="H354" t="s">
        <v>33</v>
      </c>
    </row>
    <row r="355" spans="1:8" x14ac:dyDescent="0.25">
      <c r="A355" t="s">
        <v>5</v>
      </c>
      <c r="B355">
        <v>0.4</v>
      </c>
      <c r="C355">
        <v>2</v>
      </c>
      <c r="D355">
        <v>4</v>
      </c>
      <c r="E355">
        <v>10</v>
      </c>
      <c r="F355">
        <v>30</v>
      </c>
      <c r="G355">
        <v>50</v>
      </c>
      <c r="H355">
        <v>80</v>
      </c>
    </row>
    <row r="356" spans="1:8" x14ac:dyDescent="0.25">
      <c r="A356" t="s">
        <v>6</v>
      </c>
      <c r="B356">
        <v>908.56200000000001</v>
      </c>
      <c r="C356">
        <v>3021.7190000000001</v>
      </c>
      <c r="D356">
        <v>5588.683</v>
      </c>
      <c r="E356">
        <v>12753.596</v>
      </c>
      <c r="F356">
        <v>36478.870999999999</v>
      </c>
      <c r="G356">
        <v>67165.210999999996</v>
      </c>
      <c r="H356">
        <v>108545.641</v>
      </c>
    </row>
    <row r="357" spans="1:8" x14ac:dyDescent="0.25">
      <c r="A357" t="s">
        <v>7</v>
      </c>
    </row>
    <row r="358" spans="1:8" x14ac:dyDescent="0.25">
      <c r="A358" t="s">
        <v>8</v>
      </c>
      <c r="B358">
        <v>0.999224</v>
      </c>
      <c r="C358" t="s">
        <v>9</v>
      </c>
      <c r="D358">
        <v>1348.7283709999999</v>
      </c>
      <c r="E358" t="s">
        <v>10</v>
      </c>
      <c r="F358">
        <v>-493.34308900000002</v>
      </c>
    </row>
    <row r="359" spans="1:8" x14ac:dyDescent="0.25">
      <c r="B359" t="s">
        <v>40</v>
      </c>
    </row>
    <row r="370" spans="1:8" x14ac:dyDescent="0.25">
      <c r="A370" t="s">
        <v>90</v>
      </c>
      <c r="B370" t="s">
        <v>0</v>
      </c>
      <c r="C370" t="s">
        <v>1</v>
      </c>
      <c r="D370" t="s">
        <v>2</v>
      </c>
      <c r="E370" t="s">
        <v>3</v>
      </c>
      <c r="F370" t="s">
        <v>4</v>
      </c>
      <c r="G370" t="s">
        <v>32</v>
      </c>
      <c r="H370" t="s">
        <v>33</v>
      </c>
    </row>
    <row r="371" spans="1:8" x14ac:dyDescent="0.25">
      <c r="A371" t="s">
        <v>5</v>
      </c>
      <c r="B371">
        <v>0.4</v>
      </c>
      <c r="C371">
        <v>2</v>
      </c>
      <c r="D371">
        <v>4</v>
      </c>
      <c r="E371">
        <v>10</v>
      </c>
      <c r="F371">
        <v>30</v>
      </c>
      <c r="G371">
        <v>50</v>
      </c>
      <c r="H371">
        <v>80</v>
      </c>
    </row>
    <row r="372" spans="1:8" x14ac:dyDescent="0.25">
      <c r="A372" t="s">
        <v>6</v>
      </c>
      <c r="B372">
        <v>350.27499999999998</v>
      </c>
      <c r="C372">
        <v>1239.8050000000001</v>
      </c>
      <c r="D372">
        <v>2344.3510000000001</v>
      </c>
      <c r="E372">
        <v>5838.9110000000001</v>
      </c>
      <c r="F372">
        <v>15407.728999999999</v>
      </c>
      <c r="G372">
        <v>25331.476999999999</v>
      </c>
      <c r="H372">
        <v>39851.754000000001</v>
      </c>
    </row>
    <row r="373" spans="1:8" x14ac:dyDescent="0.25">
      <c r="A373" t="s">
        <v>7</v>
      </c>
    </row>
    <row r="374" spans="1:8" x14ac:dyDescent="0.25">
      <c r="A374" t="s">
        <v>8</v>
      </c>
      <c r="B374">
        <v>0.99985299999999999</v>
      </c>
      <c r="C374" t="s">
        <v>9</v>
      </c>
      <c r="D374">
        <v>495.01575600000001</v>
      </c>
      <c r="E374" t="s">
        <v>10</v>
      </c>
      <c r="F374">
        <v>434.78894200000002</v>
      </c>
    </row>
    <row r="375" spans="1:8" x14ac:dyDescent="0.25">
      <c r="B375" t="s">
        <v>91</v>
      </c>
    </row>
    <row r="386" spans="1:8" x14ac:dyDescent="0.25">
      <c r="A386" t="s">
        <v>92</v>
      </c>
      <c r="B386" t="s">
        <v>0</v>
      </c>
      <c r="C386" t="s">
        <v>1</v>
      </c>
      <c r="D386" t="s">
        <v>2</v>
      </c>
      <c r="E386" t="s">
        <v>3</v>
      </c>
      <c r="F386" t="s">
        <v>4</v>
      </c>
      <c r="G386" t="s">
        <v>32</v>
      </c>
      <c r="H386" t="s">
        <v>33</v>
      </c>
    </row>
    <row r="387" spans="1:8" x14ac:dyDescent="0.25">
      <c r="A387" t="s">
        <v>5</v>
      </c>
      <c r="B387">
        <v>0.4</v>
      </c>
      <c r="C387">
        <v>2</v>
      </c>
      <c r="D387">
        <v>4</v>
      </c>
      <c r="E387">
        <v>10</v>
      </c>
      <c r="F387">
        <v>30</v>
      </c>
      <c r="G387">
        <v>50</v>
      </c>
      <c r="H387">
        <v>80</v>
      </c>
    </row>
    <row r="388" spans="1:8" x14ac:dyDescent="0.25">
      <c r="A388" t="s">
        <v>6</v>
      </c>
      <c r="B388">
        <v>532.34900000000005</v>
      </c>
      <c r="C388">
        <v>2771.4949999999999</v>
      </c>
      <c r="D388">
        <v>5972.4859999999999</v>
      </c>
      <c r="E388">
        <v>14673.808000000001</v>
      </c>
      <c r="F388">
        <v>41208.175999999999</v>
      </c>
      <c r="G388">
        <v>68222.358999999997</v>
      </c>
      <c r="H388">
        <v>105029.359</v>
      </c>
    </row>
    <row r="389" spans="1:8" x14ac:dyDescent="0.25">
      <c r="A389" t="s">
        <v>7</v>
      </c>
    </row>
    <row r="390" spans="1:8" x14ac:dyDescent="0.25">
      <c r="A390" t="s">
        <v>8</v>
      </c>
      <c r="B390">
        <v>0.99968000000000001</v>
      </c>
      <c r="C390" t="s">
        <v>9</v>
      </c>
      <c r="D390">
        <v>1318.414851</v>
      </c>
      <c r="E390" t="s">
        <v>10</v>
      </c>
      <c r="F390">
        <v>834.52176499999996</v>
      </c>
    </row>
    <row r="391" spans="1:8" x14ac:dyDescent="0.25">
      <c r="B391" t="s">
        <v>93</v>
      </c>
    </row>
    <row r="402" spans="1:8" x14ac:dyDescent="0.25">
      <c r="A402" t="s">
        <v>94</v>
      </c>
      <c r="B402" t="s">
        <v>0</v>
      </c>
      <c r="C402" t="s">
        <v>1</v>
      </c>
      <c r="D402" t="s">
        <v>2</v>
      </c>
      <c r="E402" t="s">
        <v>3</v>
      </c>
      <c r="F402" t="s">
        <v>4</v>
      </c>
      <c r="G402" t="s">
        <v>32</v>
      </c>
      <c r="H402" t="s">
        <v>33</v>
      </c>
    </row>
    <row r="403" spans="1:8" x14ac:dyDescent="0.25">
      <c r="A403" t="s">
        <v>5</v>
      </c>
      <c r="B403">
        <v>0.4</v>
      </c>
      <c r="C403">
        <v>2</v>
      </c>
      <c r="D403">
        <v>4</v>
      </c>
      <c r="E403">
        <v>10</v>
      </c>
      <c r="F403">
        <v>30</v>
      </c>
      <c r="G403">
        <v>50</v>
      </c>
      <c r="H403">
        <v>80</v>
      </c>
    </row>
    <row r="404" spans="1:8" x14ac:dyDescent="0.25">
      <c r="A404" t="s">
        <v>6</v>
      </c>
      <c r="B404">
        <v>942.50300000000004</v>
      </c>
      <c r="C404">
        <v>4579.3419999999996</v>
      </c>
      <c r="D404">
        <v>10393.415000000001</v>
      </c>
      <c r="E404">
        <v>25286.940999999999</v>
      </c>
      <c r="F404">
        <v>74730.608999999997</v>
      </c>
      <c r="G404">
        <v>127948.492</v>
      </c>
      <c r="H404">
        <v>202454.65599999999</v>
      </c>
    </row>
    <row r="405" spans="1:8" x14ac:dyDescent="0.25">
      <c r="A405" t="s">
        <v>7</v>
      </c>
    </row>
    <row r="406" spans="1:8" x14ac:dyDescent="0.25">
      <c r="A406" t="s">
        <v>8</v>
      </c>
      <c r="B406">
        <v>0.99995100000000003</v>
      </c>
      <c r="C406" t="s">
        <v>9</v>
      </c>
      <c r="D406">
        <v>2537.4123199999999</v>
      </c>
      <c r="E406" t="s">
        <v>10</v>
      </c>
      <c r="F406">
        <v>-180.51075499999999</v>
      </c>
    </row>
    <row r="407" spans="1:8" x14ac:dyDescent="0.25">
      <c r="B407" t="s">
        <v>95</v>
      </c>
    </row>
    <row r="418" spans="1:8" x14ac:dyDescent="0.25">
      <c r="A418" t="s">
        <v>96</v>
      </c>
      <c r="B418" t="s">
        <v>0</v>
      </c>
      <c r="C418" t="s">
        <v>1</v>
      </c>
      <c r="D418" t="s">
        <v>2</v>
      </c>
      <c r="E418" t="s">
        <v>3</v>
      </c>
      <c r="F418" t="s">
        <v>4</v>
      </c>
      <c r="G418" t="s">
        <v>32</v>
      </c>
      <c r="H418" t="s">
        <v>33</v>
      </c>
    </row>
    <row r="419" spans="1:8" x14ac:dyDescent="0.25">
      <c r="A419" t="s">
        <v>5</v>
      </c>
      <c r="B419">
        <v>0.4</v>
      </c>
      <c r="C419">
        <v>2</v>
      </c>
      <c r="D419">
        <v>4</v>
      </c>
      <c r="E419">
        <v>10</v>
      </c>
      <c r="F419">
        <v>30</v>
      </c>
      <c r="G419">
        <v>50</v>
      </c>
      <c r="H419">
        <v>80</v>
      </c>
    </row>
    <row r="420" spans="1:8" x14ac:dyDescent="0.25">
      <c r="A420" t="s">
        <v>6</v>
      </c>
      <c r="B420">
        <v>717.74699999999996</v>
      </c>
      <c r="C420">
        <v>3951.3960000000002</v>
      </c>
      <c r="D420">
        <v>8813.643</v>
      </c>
      <c r="E420">
        <v>21178.530999999999</v>
      </c>
      <c r="F420">
        <v>61136.5</v>
      </c>
      <c r="G420">
        <v>102773.031</v>
      </c>
      <c r="H420">
        <v>164885.359</v>
      </c>
    </row>
    <row r="421" spans="1:8" x14ac:dyDescent="0.25">
      <c r="A421" t="s">
        <v>7</v>
      </c>
    </row>
    <row r="422" spans="1:8" x14ac:dyDescent="0.25">
      <c r="A422" t="s">
        <v>8</v>
      </c>
      <c r="B422">
        <v>0.99997499999999995</v>
      </c>
      <c r="C422" t="s">
        <v>9</v>
      </c>
      <c r="D422">
        <v>2056.612862</v>
      </c>
      <c r="E422" t="s">
        <v>10</v>
      </c>
      <c r="F422">
        <v>95.671160999999998</v>
      </c>
    </row>
    <row r="423" spans="1:8" x14ac:dyDescent="0.25">
      <c r="B423" t="s">
        <v>97</v>
      </c>
    </row>
    <row r="436" spans="1:5" x14ac:dyDescent="0.25">
      <c r="A436" t="s">
        <v>98</v>
      </c>
    </row>
    <row r="437" spans="1:5" x14ac:dyDescent="0.25">
      <c r="A437" t="s">
        <v>11</v>
      </c>
      <c r="B437" t="s">
        <v>12</v>
      </c>
      <c r="C437" t="s">
        <v>13</v>
      </c>
      <c r="D437" t="s">
        <v>14</v>
      </c>
      <c r="E437" t="s">
        <v>15</v>
      </c>
    </row>
    <row r="438" spans="1:5" x14ac:dyDescent="0.25">
      <c r="A438" t="s">
        <v>99</v>
      </c>
      <c r="B438" t="str">
        <f>"30.000"</f>
        <v>30.000</v>
      </c>
      <c r="C438">
        <v>15402.333000000001</v>
      </c>
      <c r="D438" t="str">
        <f>"30.658"</f>
        <v>30.658</v>
      </c>
      <c r="E438" t="str">
        <f>"2.19%"</f>
        <v>2.19%</v>
      </c>
    </row>
    <row r="439" spans="1:5" x14ac:dyDescent="0.25">
      <c r="A439" t="s">
        <v>100</v>
      </c>
      <c r="B439" t="str">
        <f>"30.000"</f>
        <v>30.000</v>
      </c>
      <c r="C439">
        <v>10301.888000000001</v>
      </c>
      <c r="D439" t="str">
        <f>"28.930"</f>
        <v>28.930</v>
      </c>
      <c r="E439" t="str">
        <f>"-3.57%"</f>
        <v>-3.57%</v>
      </c>
    </row>
    <row r="440" spans="1:5" x14ac:dyDescent="0.25">
      <c r="A440" t="s">
        <v>54</v>
      </c>
      <c r="B440" t="str">
        <f>"30.000"</f>
        <v>30.000</v>
      </c>
      <c r="C440">
        <v>46284.012000000002</v>
      </c>
      <c r="D440" t="str">
        <f>"30.495"</f>
        <v>30.495</v>
      </c>
      <c r="E440" t="str">
        <f>"1.65%"</f>
        <v>1.65%</v>
      </c>
    </row>
    <row r="441" spans="1:5" x14ac:dyDescent="0.25">
      <c r="A441" t="s">
        <v>101</v>
      </c>
      <c r="B441" t="str">
        <f>"30.000"</f>
        <v>30.000</v>
      </c>
      <c r="C441">
        <v>2881.288</v>
      </c>
      <c r="D441" t="str">
        <f>"25.854"</f>
        <v>25.854</v>
      </c>
      <c r="E441" t="str">
        <f>"-13.82%"</f>
        <v>-13.82%</v>
      </c>
    </row>
    <row r="442" spans="1:5" x14ac:dyDescent="0.25">
      <c r="A442" t="s">
        <v>102</v>
      </c>
      <c r="B442" t="str">
        <f>"30.000"</f>
        <v>30.000</v>
      </c>
      <c r="C442">
        <v>25181.697</v>
      </c>
      <c r="D442" t="str">
        <f>"28.408"</f>
        <v>28.408</v>
      </c>
      <c r="E442" t="str">
        <f>"-5.31%"</f>
        <v>-5.31%</v>
      </c>
    </row>
    <row r="443" spans="1:5" x14ac:dyDescent="0.25">
      <c r="A443" t="s">
        <v>103</v>
      </c>
      <c r="B443" t="str">
        <f>"30.000"</f>
        <v>30.000</v>
      </c>
      <c r="C443">
        <v>23061.155999999999</v>
      </c>
      <c r="D443" t="str">
        <f>"30.819"</f>
        <v>30.819</v>
      </c>
      <c r="E443" t="str">
        <f>"2.73%"</f>
        <v>2.73%</v>
      </c>
    </row>
    <row r="444" spans="1:5" x14ac:dyDescent="0.25">
      <c r="A444" t="s">
        <v>104</v>
      </c>
      <c r="B444" t="str">
        <f>"30.000"</f>
        <v>30.000</v>
      </c>
      <c r="C444">
        <v>13889.499</v>
      </c>
      <c r="D444" t="str">
        <f>"28.969"</f>
        <v>28.969</v>
      </c>
      <c r="E444" t="str">
        <f>"-3.44%"</f>
        <v>-3.44%</v>
      </c>
    </row>
    <row r="445" spans="1:5" x14ac:dyDescent="0.25">
      <c r="A445" t="s">
        <v>57</v>
      </c>
      <c r="B445" t="str">
        <f>"30.000"</f>
        <v>30.000</v>
      </c>
      <c r="C445">
        <v>37014.108999999997</v>
      </c>
      <c r="D445" t="str">
        <f>"27.809"</f>
        <v>27.809</v>
      </c>
      <c r="E445" t="str">
        <f>"-7.30%"</f>
        <v>-7.30%</v>
      </c>
    </row>
    <row r="446" spans="1:5" x14ac:dyDescent="0.25">
      <c r="A446" t="s">
        <v>105</v>
      </c>
      <c r="B446" t="str">
        <f>"30.000"</f>
        <v>30.000</v>
      </c>
      <c r="C446">
        <v>15510.761</v>
      </c>
      <c r="D446" t="str">
        <f>"30.456"</f>
        <v>30.456</v>
      </c>
      <c r="E446" t="str">
        <f>"1.52%"</f>
        <v>1.52%</v>
      </c>
    </row>
    <row r="447" spans="1:5" x14ac:dyDescent="0.25">
      <c r="A447" t="s">
        <v>106</v>
      </c>
      <c r="B447" t="str">
        <f>"30.000"</f>
        <v>30.000</v>
      </c>
      <c r="C447">
        <v>38236.472999999998</v>
      </c>
      <c r="D447" t="str">
        <f>"28.369"</f>
        <v>28.369</v>
      </c>
      <c r="E447" t="str">
        <f>"-5.44%"</f>
        <v>-5.44%</v>
      </c>
    </row>
    <row r="448" spans="1:5" x14ac:dyDescent="0.25">
      <c r="A448" t="s">
        <v>107</v>
      </c>
      <c r="B448" t="str">
        <f>"30.000"</f>
        <v>30.000</v>
      </c>
      <c r="C448">
        <v>68664.125</v>
      </c>
      <c r="D448" t="str">
        <f>"27.132"</f>
        <v>27.132</v>
      </c>
      <c r="E448" t="str">
        <f>"-9.56%"</f>
        <v>-9.56%</v>
      </c>
    </row>
    <row r="449" spans="1:5" x14ac:dyDescent="0.25">
      <c r="A449" t="s">
        <v>108</v>
      </c>
      <c r="B449" t="str">
        <f>"30.000"</f>
        <v>30.000</v>
      </c>
      <c r="C449">
        <v>61970.695</v>
      </c>
      <c r="D449" t="str">
        <f>"30.086"</f>
        <v>30.086</v>
      </c>
      <c r="E449" t="str">
        <f>"0.29%"</f>
        <v>0.29%</v>
      </c>
    </row>
    <row r="450" spans="1:5" x14ac:dyDescent="0.25">
      <c r="A450" t="s">
        <v>16</v>
      </c>
      <c r="B450" t="s">
        <v>12</v>
      </c>
      <c r="C450" t="s">
        <v>13</v>
      </c>
      <c r="D450" t="s">
        <v>14</v>
      </c>
      <c r="E450" t="s">
        <v>15</v>
      </c>
    </row>
    <row r="451" spans="1:5" x14ac:dyDescent="0.25">
      <c r="A451" t="s">
        <v>99</v>
      </c>
      <c r="B451" t="str">
        <f>"30.000"</f>
        <v>30.000</v>
      </c>
      <c r="C451">
        <v>15763.071</v>
      </c>
      <c r="D451" t="str">
        <f>"31.376"</f>
        <v>31.376</v>
      </c>
      <c r="E451" t="str">
        <f>"4.59%"</f>
        <v>4.59%</v>
      </c>
    </row>
    <row r="452" spans="1:5" x14ac:dyDescent="0.25">
      <c r="A452" t="s">
        <v>100</v>
      </c>
      <c r="B452" t="str">
        <f>"30.000"</f>
        <v>30.000</v>
      </c>
      <c r="C452">
        <v>10614.507</v>
      </c>
      <c r="D452" t="str">
        <f>"29.799"</f>
        <v>29.799</v>
      </c>
      <c r="E452" t="str">
        <f>"-0.67%"</f>
        <v>-0.67%</v>
      </c>
    </row>
    <row r="453" spans="1:5" x14ac:dyDescent="0.25">
      <c r="A453" t="s">
        <v>54</v>
      </c>
      <c r="B453" t="str">
        <f>"30.000"</f>
        <v>30.000</v>
      </c>
      <c r="C453">
        <v>47509.262000000002</v>
      </c>
      <c r="D453" t="str">
        <f>"31.322"</f>
        <v>31.322</v>
      </c>
      <c r="E453" t="str">
        <f>"4.41%"</f>
        <v>4.41%</v>
      </c>
    </row>
    <row r="454" spans="1:5" x14ac:dyDescent="0.25">
      <c r="A454" t="s">
        <v>101</v>
      </c>
      <c r="B454" t="str">
        <f>"30.000"</f>
        <v>30.000</v>
      </c>
      <c r="C454">
        <v>2878.6469999999999</v>
      </c>
      <c r="D454" t="str">
        <f>"25.831"</f>
        <v>25.831</v>
      </c>
      <c r="E454" t="str">
        <f>"-13.90%"</f>
        <v>-13.90%</v>
      </c>
    </row>
    <row r="455" spans="1:5" x14ac:dyDescent="0.25">
      <c r="A455" t="s">
        <v>102</v>
      </c>
      <c r="B455" t="str">
        <f>"30.000"</f>
        <v>30.000</v>
      </c>
      <c r="C455">
        <v>24698.312999999998</v>
      </c>
      <c r="D455" t="str">
        <f>"27.866"</f>
        <v>27.866</v>
      </c>
      <c r="E455" t="str">
        <f>"-7.11%"</f>
        <v>-7.11%</v>
      </c>
    </row>
    <row r="456" spans="1:5" x14ac:dyDescent="0.25">
      <c r="A456" t="s">
        <v>103</v>
      </c>
      <c r="B456" t="str">
        <f>"30.000"</f>
        <v>30.000</v>
      </c>
      <c r="C456">
        <v>23198.857</v>
      </c>
      <c r="D456" t="str">
        <f>"30.999"</f>
        <v>30.999</v>
      </c>
      <c r="E456" t="str">
        <f>"3.33%"</f>
        <v>3.33%</v>
      </c>
    </row>
    <row r="457" spans="1:5" x14ac:dyDescent="0.25">
      <c r="A457" t="s">
        <v>104</v>
      </c>
      <c r="B457" t="str">
        <f>"30.000"</f>
        <v>30.000</v>
      </c>
      <c r="C457">
        <v>13849.922</v>
      </c>
      <c r="D457" t="str">
        <f>"28.886"</f>
        <v>28.886</v>
      </c>
      <c r="E457" t="str">
        <f>"-3.71%"</f>
        <v>-3.71%</v>
      </c>
    </row>
    <row r="458" spans="1:5" x14ac:dyDescent="0.25">
      <c r="A458" t="s">
        <v>57</v>
      </c>
      <c r="B458" t="str">
        <f>"30.000"</f>
        <v>30.000</v>
      </c>
      <c r="C458">
        <v>36286.940999999999</v>
      </c>
      <c r="D458" t="str">
        <f>"27.270"</f>
        <v>27.270</v>
      </c>
      <c r="E458" t="str">
        <f>"-9.10%"</f>
        <v>-9.10%</v>
      </c>
    </row>
    <row r="459" spans="1:5" x14ac:dyDescent="0.25">
      <c r="A459" t="s">
        <v>105</v>
      </c>
      <c r="B459" t="str">
        <f>"30.000"</f>
        <v>30.000</v>
      </c>
      <c r="C459">
        <v>14920.23</v>
      </c>
      <c r="D459" t="str">
        <f>"29.263"</f>
        <v>29.263</v>
      </c>
      <c r="E459" t="str">
        <f>"-2.46%"</f>
        <v>-2.46%</v>
      </c>
    </row>
    <row r="460" spans="1:5" x14ac:dyDescent="0.25">
      <c r="A460" t="s">
        <v>106</v>
      </c>
      <c r="B460" t="str">
        <f>"30.000"</f>
        <v>30.000</v>
      </c>
      <c r="C460">
        <v>38392.582000000002</v>
      </c>
      <c r="D460" t="str">
        <f>"28.487"</f>
        <v>28.487</v>
      </c>
      <c r="E460" t="str">
        <f>"-5.04%"</f>
        <v>-5.04%</v>
      </c>
    </row>
    <row r="461" spans="1:5" x14ac:dyDescent="0.25">
      <c r="A461" t="s">
        <v>107</v>
      </c>
      <c r="B461" t="str">
        <f>"30.000"</f>
        <v>30.000</v>
      </c>
      <c r="C461">
        <v>70249.797000000006</v>
      </c>
      <c r="D461" t="str">
        <f>"27.757"</f>
        <v>27.757</v>
      </c>
      <c r="E461" t="str">
        <f>"-7.48%"</f>
        <v>-7.48%</v>
      </c>
    </row>
    <row r="462" spans="1:5" x14ac:dyDescent="0.25">
      <c r="A462" t="s">
        <v>108</v>
      </c>
      <c r="B462" t="str">
        <f>"30.000"</f>
        <v>30.000</v>
      </c>
      <c r="C462">
        <v>63350.398000000001</v>
      </c>
      <c r="D462" t="str">
        <f>"30.757"</f>
        <v>30.757</v>
      </c>
      <c r="E462" t="str">
        <f>"2.52%"</f>
        <v>2.52%</v>
      </c>
    </row>
    <row r="463" spans="1:5" x14ac:dyDescent="0.25">
      <c r="A463" t="s">
        <v>17</v>
      </c>
      <c r="B463" t="s">
        <v>12</v>
      </c>
      <c r="C463" t="s">
        <v>13</v>
      </c>
      <c r="D463" t="s">
        <v>14</v>
      </c>
      <c r="E463" t="s">
        <v>15</v>
      </c>
    </row>
    <row r="464" spans="1:5" x14ac:dyDescent="0.25">
      <c r="A464" t="s">
        <v>99</v>
      </c>
      <c r="B464" t="str">
        <f>"30.000"</f>
        <v>30.000</v>
      </c>
      <c r="C464">
        <v>16089.303</v>
      </c>
      <c r="D464" t="str">
        <f>"32.026"</f>
        <v>32.026</v>
      </c>
      <c r="E464" t="str">
        <f>"6.75%"</f>
        <v>6.75%</v>
      </c>
    </row>
    <row r="465" spans="1:8" x14ac:dyDescent="0.25">
      <c r="A465" t="s">
        <v>100</v>
      </c>
      <c r="B465" t="str">
        <f>"30.000"</f>
        <v>30.000</v>
      </c>
      <c r="C465">
        <v>11064.168</v>
      </c>
      <c r="D465" t="str">
        <f>"31.050"</f>
        <v>31.050</v>
      </c>
      <c r="E465" t="str">
        <f>"3.50%"</f>
        <v>3.50%</v>
      </c>
    </row>
    <row r="466" spans="1:8" x14ac:dyDescent="0.25">
      <c r="A466" t="s">
        <v>54</v>
      </c>
      <c r="B466" t="str">
        <f>"30.000"</f>
        <v>30.000</v>
      </c>
      <c r="C466">
        <v>50844.351999999999</v>
      </c>
      <c r="D466" t="str">
        <f>"33.574"</f>
        <v>33.574</v>
      </c>
      <c r="E466" t="str">
        <f>"11.91%"</f>
        <v>11.91%</v>
      </c>
    </row>
    <row r="467" spans="1:8" x14ac:dyDescent="0.25">
      <c r="A467" t="s">
        <v>101</v>
      </c>
      <c r="B467" t="str">
        <f>"30.000"</f>
        <v>30.000</v>
      </c>
      <c r="C467">
        <v>3088.9690000000001</v>
      </c>
      <c r="D467" t="str">
        <f>"27.680"</f>
        <v>27.680</v>
      </c>
      <c r="E467" t="str">
        <f>"-7.73%"</f>
        <v>-7.73%</v>
      </c>
    </row>
    <row r="468" spans="1:8" x14ac:dyDescent="0.25">
      <c r="A468" t="s">
        <v>102</v>
      </c>
      <c r="B468" t="str">
        <f>"30.000"</f>
        <v>30.000</v>
      </c>
      <c r="C468">
        <v>26594.076000000001</v>
      </c>
      <c r="D468" t="str">
        <f>"29.992"</f>
        <v>29.992</v>
      </c>
      <c r="E468" t="str">
        <f>"-0.03%"</f>
        <v>-0.03%</v>
      </c>
    </row>
    <row r="469" spans="1:8" x14ac:dyDescent="0.25">
      <c r="A469" t="s">
        <v>103</v>
      </c>
      <c r="B469" t="str">
        <f>"30.000"</f>
        <v>30.000</v>
      </c>
      <c r="C469">
        <v>25587.442999999999</v>
      </c>
      <c r="D469" t="str">
        <f>"34.136"</f>
        <v>34.136</v>
      </c>
      <c r="E469" t="str">
        <f>"13.79%"</f>
        <v>13.79%</v>
      </c>
    </row>
    <row r="470" spans="1:8" x14ac:dyDescent="0.25">
      <c r="A470" t="s">
        <v>104</v>
      </c>
      <c r="B470" t="str">
        <f>"30.000"</f>
        <v>30.000</v>
      </c>
      <c r="C470">
        <v>15121.974</v>
      </c>
      <c r="D470" t="str">
        <f>"31.546"</f>
        <v>31.546</v>
      </c>
      <c r="E470" t="str">
        <f>"5.15%"</f>
        <v>5.15%</v>
      </c>
    </row>
    <row r="471" spans="1:8" x14ac:dyDescent="0.25">
      <c r="A471" t="s">
        <v>57</v>
      </c>
      <c r="B471" t="str">
        <f>"30.000"</f>
        <v>30.000</v>
      </c>
      <c r="C471">
        <v>38028.991999999998</v>
      </c>
      <c r="D471" t="str">
        <f>"28.562"</f>
        <v>28.562</v>
      </c>
      <c r="E471" t="str">
        <f>"-4.79%"</f>
        <v>-4.79%</v>
      </c>
    </row>
    <row r="472" spans="1:8" x14ac:dyDescent="0.25">
      <c r="A472" t="s">
        <v>105</v>
      </c>
      <c r="B472" t="str">
        <f>"30.000"</f>
        <v>30.000</v>
      </c>
      <c r="C472">
        <v>16646.732</v>
      </c>
      <c r="D472" t="str">
        <f>"32.750"</f>
        <v>32.750</v>
      </c>
      <c r="E472" t="str">
        <f>"9.17%"</f>
        <v>9.17%</v>
      </c>
    </row>
    <row r="473" spans="1:8" x14ac:dyDescent="0.25">
      <c r="A473" t="s">
        <v>106</v>
      </c>
      <c r="B473" t="str">
        <f>"30.000"</f>
        <v>30.000</v>
      </c>
      <c r="C473">
        <v>42703.938000000002</v>
      </c>
      <c r="D473" t="str">
        <f>"31.757"</f>
        <v>31.757</v>
      </c>
      <c r="E473" t="str">
        <f>"5.86%"</f>
        <v>5.86%</v>
      </c>
    </row>
    <row r="474" spans="1:8" x14ac:dyDescent="0.25">
      <c r="A474" t="s">
        <v>107</v>
      </c>
      <c r="B474" t="str">
        <f>"30.000"</f>
        <v>30.000</v>
      </c>
      <c r="C474">
        <v>78360.577999999994</v>
      </c>
      <c r="D474" t="str">
        <f>"30.953"</f>
        <v>30.953</v>
      </c>
      <c r="E474" t="str">
        <f>"3.18%"</f>
        <v>3.18%</v>
      </c>
    </row>
    <row r="475" spans="1:8" x14ac:dyDescent="0.25">
      <c r="A475" t="s">
        <v>108</v>
      </c>
      <c r="B475" t="str">
        <f>"30.000"</f>
        <v>30.000</v>
      </c>
      <c r="C475">
        <v>66070.672000000006</v>
      </c>
      <c r="D475" t="str">
        <f>"32.079"</f>
        <v>32.079</v>
      </c>
      <c r="E475" t="str">
        <f>"6.93%"</f>
        <v>6.93%</v>
      </c>
    </row>
    <row r="477" spans="1:8" x14ac:dyDescent="0.25">
      <c r="A477" t="s">
        <v>109</v>
      </c>
    </row>
    <row r="478" spans="1:8" x14ac:dyDescent="0.25">
      <c r="A478" t="s">
        <v>18</v>
      </c>
      <c r="B478" t="s">
        <v>19</v>
      </c>
      <c r="C478" t="s">
        <v>20</v>
      </c>
      <c r="D478" t="s">
        <v>21</v>
      </c>
      <c r="E478" t="s">
        <v>13</v>
      </c>
      <c r="F478" t="s">
        <v>22</v>
      </c>
      <c r="G478" t="s">
        <v>23</v>
      </c>
      <c r="H478" t="s">
        <v>65</v>
      </c>
    </row>
    <row r="479" spans="1:8" x14ac:dyDescent="0.25">
      <c r="A479" t="s">
        <v>99</v>
      </c>
      <c r="B479" t="s">
        <v>66</v>
      </c>
      <c r="C479">
        <v>10</v>
      </c>
      <c r="D479">
        <v>10</v>
      </c>
      <c r="E479" t="s">
        <v>67</v>
      </c>
      <c r="F479" t="s">
        <v>67</v>
      </c>
      <c r="G479" t="s">
        <v>67</v>
      </c>
      <c r="H479" t="str">
        <f>"0.010"</f>
        <v>0.010</v>
      </c>
    </row>
    <row r="480" spans="1:8" x14ac:dyDescent="0.25">
      <c r="A480" t="s">
        <v>100</v>
      </c>
      <c r="B480" t="s">
        <v>66</v>
      </c>
      <c r="C480">
        <v>10</v>
      </c>
      <c r="D480">
        <v>10</v>
      </c>
      <c r="E480" t="s">
        <v>67</v>
      </c>
      <c r="F480" t="s">
        <v>67</v>
      </c>
      <c r="G480" t="s">
        <v>67</v>
      </c>
      <c r="H480" t="str">
        <f>"0.010"</f>
        <v>0.010</v>
      </c>
    </row>
    <row r="481" spans="1:8" x14ac:dyDescent="0.25">
      <c r="A481" t="s">
        <v>54</v>
      </c>
      <c r="B481" t="s">
        <v>66</v>
      </c>
      <c r="C481">
        <v>10</v>
      </c>
      <c r="D481">
        <v>10</v>
      </c>
      <c r="E481" t="s">
        <v>67</v>
      </c>
      <c r="F481" t="s">
        <v>67</v>
      </c>
      <c r="G481" t="s">
        <v>67</v>
      </c>
      <c r="H481" t="str">
        <f>"0.010"</f>
        <v>0.010</v>
      </c>
    </row>
    <row r="482" spans="1:8" x14ac:dyDescent="0.25">
      <c r="A482" t="s">
        <v>101</v>
      </c>
      <c r="B482" t="s">
        <v>66</v>
      </c>
      <c r="C482">
        <v>10</v>
      </c>
      <c r="D482">
        <v>10</v>
      </c>
      <c r="E482" t="s">
        <v>67</v>
      </c>
      <c r="F482" t="s">
        <v>67</v>
      </c>
      <c r="G482" t="s">
        <v>67</v>
      </c>
      <c r="H482" t="str">
        <f>"0.010"</f>
        <v>0.010</v>
      </c>
    </row>
    <row r="483" spans="1:8" x14ac:dyDescent="0.25">
      <c r="A483" t="s">
        <v>102</v>
      </c>
      <c r="B483" t="s">
        <v>66</v>
      </c>
      <c r="C483">
        <v>10</v>
      </c>
      <c r="D483">
        <v>10</v>
      </c>
      <c r="E483" t="s">
        <v>67</v>
      </c>
      <c r="F483" t="s">
        <v>67</v>
      </c>
      <c r="G483" t="s">
        <v>67</v>
      </c>
      <c r="H483" t="str">
        <f>"0.010"</f>
        <v>0.010</v>
      </c>
    </row>
    <row r="484" spans="1:8" x14ac:dyDescent="0.25">
      <c r="A484" t="s">
        <v>103</v>
      </c>
      <c r="B484" t="s">
        <v>66</v>
      </c>
      <c r="C484">
        <v>10</v>
      </c>
      <c r="D484">
        <v>10</v>
      </c>
      <c r="E484" t="s">
        <v>67</v>
      </c>
      <c r="F484" t="s">
        <v>67</v>
      </c>
      <c r="G484" t="s">
        <v>67</v>
      </c>
      <c r="H484" t="str">
        <f>"0.010"</f>
        <v>0.010</v>
      </c>
    </row>
    <row r="485" spans="1:8" x14ac:dyDescent="0.25">
      <c r="A485" t="s">
        <v>104</v>
      </c>
      <c r="B485" t="s">
        <v>66</v>
      </c>
      <c r="C485">
        <v>10</v>
      </c>
      <c r="D485">
        <v>10</v>
      </c>
      <c r="E485" t="s">
        <v>67</v>
      </c>
      <c r="F485" t="s">
        <v>67</v>
      </c>
      <c r="G485" t="s">
        <v>67</v>
      </c>
      <c r="H485" t="str">
        <f>"0.010"</f>
        <v>0.010</v>
      </c>
    </row>
    <row r="486" spans="1:8" x14ac:dyDescent="0.25">
      <c r="A486" t="s">
        <v>57</v>
      </c>
      <c r="B486" t="s">
        <v>66</v>
      </c>
      <c r="C486">
        <v>10</v>
      </c>
      <c r="D486">
        <v>10</v>
      </c>
      <c r="E486" t="s">
        <v>67</v>
      </c>
      <c r="F486" t="s">
        <v>67</v>
      </c>
      <c r="G486" t="s">
        <v>67</v>
      </c>
      <c r="H486" t="str">
        <f>"0.010"</f>
        <v>0.010</v>
      </c>
    </row>
    <row r="487" spans="1:8" x14ac:dyDescent="0.25">
      <c r="A487" t="s">
        <v>105</v>
      </c>
      <c r="B487" t="s">
        <v>66</v>
      </c>
      <c r="C487">
        <v>10</v>
      </c>
      <c r="D487">
        <v>10</v>
      </c>
      <c r="E487" t="s">
        <v>67</v>
      </c>
      <c r="F487" t="s">
        <v>67</v>
      </c>
      <c r="G487" t="s">
        <v>67</v>
      </c>
      <c r="H487" t="str">
        <f>"0.010"</f>
        <v>0.010</v>
      </c>
    </row>
    <row r="488" spans="1:8" x14ac:dyDescent="0.25">
      <c r="A488" t="s">
        <v>106</v>
      </c>
      <c r="B488" t="s">
        <v>66</v>
      </c>
      <c r="C488">
        <v>10</v>
      </c>
      <c r="D488">
        <v>10</v>
      </c>
      <c r="E488" t="s">
        <v>67</v>
      </c>
      <c r="F488" t="s">
        <v>67</v>
      </c>
      <c r="G488" t="s">
        <v>67</v>
      </c>
      <c r="H488" t="str">
        <f>"0.010"</f>
        <v>0.010</v>
      </c>
    </row>
    <row r="489" spans="1:8" x14ac:dyDescent="0.25">
      <c r="A489" t="s">
        <v>107</v>
      </c>
      <c r="B489" t="s">
        <v>66</v>
      </c>
      <c r="C489">
        <v>10</v>
      </c>
      <c r="D489">
        <v>10</v>
      </c>
      <c r="E489" t="s">
        <v>67</v>
      </c>
      <c r="F489" t="s">
        <v>67</v>
      </c>
      <c r="G489" t="s">
        <v>67</v>
      </c>
      <c r="H489" t="str">
        <f>"0.010"</f>
        <v>0.010</v>
      </c>
    </row>
    <row r="490" spans="1:8" x14ac:dyDescent="0.25">
      <c r="A490" t="s">
        <v>108</v>
      </c>
      <c r="B490" t="s">
        <v>66</v>
      </c>
      <c r="C490">
        <v>10</v>
      </c>
      <c r="D490">
        <v>10</v>
      </c>
      <c r="E490" t="s">
        <v>67</v>
      </c>
      <c r="F490" t="s">
        <v>67</v>
      </c>
      <c r="G490" t="s">
        <v>67</v>
      </c>
      <c r="H490" t="str">
        <f>"0.010"</f>
        <v>0.010</v>
      </c>
    </row>
    <row r="491" spans="1:8" x14ac:dyDescent="0.25">
      <c r="A491" t="s">
        <v>68</v>
      </c>
    </row>
    <row r="493" spans="1:8" x14ac:dyDescent="0.25">
      <c r="A493" t="s">
        <v>110</v>
      </c>
    </row>
    <row r="494" spans="1:8" x14ac:dyDescent="0.25">
      <c r="A494" t="s">
        <v>70</v>
      </c>
      <c r="B494" t="s">
        <v>25</v>
      </c>
      <c r="C494" t="s">
        <v>26</v>
      </c>
      <c r="D494" t="s">
        <v>13</v>
      </c>
      <c r="E494" t="s">
        <v>14</v>
      </c>
      <c r="F494" t="s">
        <v>27</v>
      </c>
      <c r="G494" t="s">
        <v>28</v>
      </c>
      <c r="H494" t="s">
        <v>29</v>
      </c>
    </row>
    <row r="495" spans="1:8" x14ac:dyDescent="0.25">
      <c r="A495" t="s">
        <v>99</v>
      </c>
      <c r="B495">
        <v>10</v>
      </c>
      <c r="C495">
        <v>10</v>
      </c>
      <c r="D495">
        <v>14959.035</v>
      </c>
      <c r="E495" t="str">
        <f>"29.775"</f>
        <v>29.775</v>
      </c>
      <c r="F495" t="str">
        <f>"0.030"</f>
        <v>0.030</v>
      </c>
      <c r="G495">
        <v>0.03</v>
      </c>
      <c r="H495" t="str">
        <f>"99.25%"</f>
        <v>99.25%</v>
      </c>
    </row>
    <row r="496" spans="1:8" x14ac:dyDescent="0.25">
      <c r="A496" t="s">
        <v>100</v>
      </c>
      <c r="B496">
        <v>10</v>
      </c>
      <c r="C496">
        <v>10</v>
      </c>
      <c r="D496">
        <v>10766.316000000001</v>
      </c>
      <c r="E496" t="str">
        <f>"30.222"</f>
        <v>30.222</v>
      </c>
      <c r="F496" t="str">
        <f>"0.030"</f>
        <v>0.030</v>
      </c>
      <c r="G496">
        <v>0.03</v>
      </c>
      <c r="H496" t="str">
        <f>"100.74%"</f>
        <v>100.74%</v>
      </c>
    </row>
    <row r="497" spans="1:12" x14ac:dyDescent="0.25">
      <c r="A497" t="s">
        <v>54</v>
      </c>
      <c r="B497">
        <v>10</v>
      </c>
      <c r="C497">
        <v>10</v>
      </c>
      <c r="D497">
        <v>48793.25</v>
      </c>
      <c r="E497" t="str">
        <f>"32.189"</f>
        <v>32.189</v>
      </c>
      <c r="F497" t="str">
        <f>"0.032"</f>
        <v>0.032</v>
      </c>
      <c r="G497">
        <v>0.03</v>
      </c>
      <c r="H497" t="str">
        <f>"107.30%"</f>
        <v>107.30%</v>
      </c>
    </row>
    <row r="498" spans="1:12" x14ac:dyDescent="0.25">
      <c r="A498" t="s">
        <v>101</v>
      </c>
      <c r="B498">
        <v>10</v>
      </c>
      <c r="C498">
        <v>10</v>
      </c>
      <c r="D498">
        <v>2796.96</v>
      </c>
      <c r="E498" t="str">
        <f>"25.112"</f>
        <v>25.112</v>
      </c>
      <c r="F498" t="str">
        <f>"0.025"</f>
        <v>0.025</v>
      </c>
      <c r="G498">
        <v>0.03</v>
      </c>
      <c r="H498" t="str">
        <f>"83.71%"</f>
        <v>83.71%</v>
      </c>
    </row>
    <row r="499" spans="1:12" x14ac:dyDescent="0.25">
      <c r="A499" t="s">
        <v>102</v>
      </c>
      <c r="B499">
        <v>10</v>
      </c>
      <c r="C499">
        <v>10</v>
      </c>
      <c r="D499">
        <v>26451.763999999999</v>
      </c>
      <c r="E499" t="str">
        <f>"29.833"</f>
        <v>29.833</v>
      </c>
      <c r="F499" t="str">
        <f>"0.030"</f>
        <v>0.030</v>
      </c>
      <c r="G499">
        <v>0.03</v>
      </c>
      <c r="H499" t="str">
        <f>"99.44%"</f>
        <v>99.44%</v>
      </c>
    </row>
    <row r="500" spans="1:12" x14ac:dyDescent="0.25">
      <c r="A500" t="s">
        <v>103</v>
      </c>
      <c r="B500">
        <v>10</v>
      </c>
      <c r="C500">
        <v>10</v>
      </c>
      <c r="D500">
        <v>24485.455000000002</v>
      </c>
      <c r="E500" t="str">
        <f>"32.689"</f>
        <v>32.689</v>
      </c>
      <c r="F500" t="str">
        <f>"0.033"</f>
        <v>0.033</v>
      </c>
      <c r="G500">
        <v>0.03</v>
      </c>
      <c r="H500" t="str">
        <f>"108.96%"</f>
        <v>108.96%</v>
      </c>
    </row>
    <row r="501" spans="1:12" x14ac:dyDescent="0.25">
      <c r="A501" t="s">
        <v>104</v>
      </c>
      <c r="B501">
        <v>10</v>
      </c>
      <c r="C501">
        <v>10</v>
      </c>
      <c r="D501">
        <v>14301.708000000001</v>
      </c>
      <c r="E501" t="str">
        <f>"29.830"</f>
        <v>29.830</v>
      </c>
      <c r="F501" t="str">
        <f>"0.030"</f>
        <v>0.030</v>
      </c>
      <c r="G501">
        <v>0.03</v>
      </c>
      <c r="H501" t="str">
        <f>"99.43%"</f>
        <v>99.43%</v>
      </c>
    </row>
    <row r="502" spans="1:12" x14ac:dyDescent="0.25">
      <c r="A502" t="s">
        <v>57</v>
      </c>
      <c r="B502">
        <v>10</v>
      </c>
      <c r="C502">
        <v>10</v>
      </c>
      <c r="D502">
        <v>37147.703000000001</v>
      </c>
      <c r="E502" t="str">
        <f>"27.909"</f>
        <v>27.909</v>
      </c>
      <c r="F502" t="str">
        <f>"0.028"</f>
        <v>0.028</v>
      </c>
      <c r="G502">
        <v>0.03</v>
      </c>
      <c r="H502" t="str">
        <f>"93.03%"</f>
        <v>93.03%</v>
      </c>
    </row>
    <row r="503" spans="1:12" x14ac:dyDescent="0.25">
      <c r="A503" t="s">
        <v>105</v>
      </c>
      <c r="B503">
        <v>10</v>
      </c>
      <c r="C503">
        <v>10</v>
      </c>
      <c r="D503">
        <v>16106.089</v>
      </c>
      <c r="E503" t="str">
        <f>"31.658"</f>
        <v>31.658</v>
      </c>
      <c r="F503" t="str">
        <f>"0.032"</f>
        <v>0.032</v>
      </c>
      <c r="G503">
        <v>0.03</v>
      </c>
      <c r="H503" t="str">
        <f>"105.53%"</f>
        <v>105.53%</v>
      </c>
    </row>
    <row r="504" spans="1:12" x14ac:dyDescent="0.25">
      <c r="A504" t="s">
        <v>106</v>
      </c>
      <c r="B504">
        <v>10</v>
      </c>
      <c r="C504">
        <v>10</v>
      </c>
      <c r="D504">
        <v>40283.538999999997</v>
      </c>
      <c r="E504" t="str">
        <f>"29.922"</f>
        <v>29.922</v>
      </c>
      <c r="F504" t="str">
        <f>"0.030"</f>
        <v>0.030</v>
      </c>
      <c r="G504">
        <v>0.03</v>
      </c>
      <c r="H504" t="str">
        <f>"99.74%"</f>
        <v>99.74%</v>
      </c>
    </row>
    <row r="505" spans="1:12" x14ac:dyDescent="0.25">
      <c r="A505" t="s">
        <v>107</v>
      </c>
      <c r="B505">
        <v>10</v>
      </c>
      <c r="C505">
        <v>10</v>
      </c>
      <c r="D505">
        <v>71712.726999999999</v>
      </c>
      <c r="E505" t="str">
        <f>"28.333"</f>
        <v>28.333</v>
      </c>
      <c r="F505" t="str">
        <f>"0.028"</f>
        <v>0.028</v>
      </c>
      <c r="G505">
        <v>0.03</v>
      </c>
      <c r="H505" t="str">
        <f>"94.44%"</f>
        <v>94.44%</v>
      </c>
    </row>
    <row r="506" spans="1:12" x14ac:dyDescent="0.25">
      <c r="A506" t="s">
        <v>108</v>
      </c>
      <c r="B506">
        <v>10</v>
      </c>
      <c r="C506">
        <v>10</v>
      </c>
      <c r="D506">
        <v>64279.957000000002</v>
      </c>
      <c r="E506" t="str">
        <f>"31.209"</f>
        <v>31.209</v>
      </c>
      <c r="F506" t="str">
        <f>"0.031"</f>
        <v>0.031</v>
      </c>
      <c r="G506">
        <v>0.03</v>
      </c>
      <c r="H506" t="str">
        <f>"104.03%"</f>
        <v>104.03%</v>
      </c>
    </row>
    <row r="508" spans="1:12" x14ac:dyDescent="0.25">
      <c r="A508" t="s">
        <v>111</v>
      </c>
    </row>
    <row r="509" spans="1:12" x14ac:dyDescent="0.25">
      <c r="A509" t="s">
        <v>18</v>
      </c>
      <c r="B509" t="s">
        <v>72</v>
      </c>
      <c r="G509" t="s">
        <v>73</v>
      </c>
      <c r="L509" t="s">
        <v>74</v>
      </c>
    </row>
    <row r="510" spans="1:12" x14ac:dyDescent="0.25">
      <c r="B510" t="s">
        <v>25</v>
      </c>
      <c r="C510" t="s">
        <v>26</v>
      </c>
      <c r="D510" t="s">
        <v>13</v>
      </c>
      <c r="E510" t="s">
        <v>14</v>
      </c>
      <c r="F510" t="s">
        <v>27</v>
      </c>
      <c r="G510" t="s">
        <v>25</v>
      </c>
      <c r="H510" t="s">
        <v>26</v>
      </c>
      <c r="I510" t="s">
        <v>13</v>
      </c>
      <c r="J510" t="s">
        <v>14</v>
      </c>
      <c r="K510" t="s">
        <v>27</v>
      </c>
    </row>
    <row r="511" spans="1:12" x14ac:dyDescent="0.25">
      <c r="A511" t="s">
        <v>99</v>
      </c>
      <c r="B511">
        <v>10</v>
      </c>
      <c r="C511">
        <v>10</v>
      </c>
      <c r="D511">
        <v>14959.035</v>
      </c>
      <c r="E511" t="str">
        <f>"29.775"</f>
        <v>29.775</v>
      </c>
      <c r="F511" t="str">
        <f>"0.030"</f>
        <v>0.030</v>
      </c>
      <c r="G511">
        <v>10</v>
      </c>
      <c r="H511">
        <v>10</v>
      </c>
      <c r="I511">
        <v>16029.594999999999</v>
      </c>
      <c r="J511" t="str">
        <f>"31.907"</f>
        <v>31.907</v>
      </c>
      <c r="K511" t="str">
        <f>"0.032"</f>
        <v>0.032</v>
      </c>
      <c r="L511" t="str">
        <f>"6.91%"</f>
        <v>6.91%</v>
      </c>
    </row>
    <row r="512" spans="1:12" x14ac:dyDescent="0.25">
      <c r="A512" t="s">
        <v>100</v>
      </c>
      <c r="B512">
        <v>10</v>
      </c>
      <c r="C512">
        <v>10</v>
      </c>
      <c r="D512">
        <v>10766.316000000001</v>
      </c>
      <c r="E512" t="str">
        <f>"30.222"</f>
        <v>30.222</v>
      </c>
      <c r="F512" t="str">
        <f>"0.030"</f>
        <v>0.030</v>
      </c>
      <c r="G512">
        <v>10</v>
      </c>
      <c r="H512">
        <v>10</v>
      </c>
      <c r="I512">
        <v>11400.973</v>
      </c>
      <c r="J512" t="str">
        <f>"31.987"</f>
        <v>31.987</v>
      </c>
      <c r="K512" t="str">
        <f>"0.032"</f>
        <v>0.032</v>
      </c>
      <c r="L512" t="str">
        <f>"5.67%"</f>
        <v>5.67%</v>
      </c>
    </row>
    <row r="513" spans="1:12" x14ac:dyDescent="0.25">
      <c r="A513" t="s">
        <v>54</v>
      </c>
      <c r="B513">
        <v>10</v>
      </c>
      <c r="C513">
        <v>10</v>
      </c>
      <c r="D513">
        <v>48793.25</v>
      </c>
      <c r="E513" t="str">
        <f>"32.189"</f>
        <v>32.189</v>
      </c>
      <c r="F513" t="str">
        <f>"0.032"</f>
        <v>0.032</v>
      </c>
      <c r="G513">
        <v>10</v>
      </c>
      <c r="H513">
        <v>10</v>
      </c>
      <c r="I513">
        <v>49533.766000000003</v>
      </c>
      <c r="J513" t="str">
        <f>"32.689"</f>
        <v>32.689</v>
      </c>
      <c r="K513" t="str">
        <f>"0.033"</f>
        <v>0.033</v>
      </c>
      <c r="L513" t="str">
        <f>"1.54%"</f>
        <v>1.54%</v>
      </c>
    </row>
    <row r="514" spans="1:12" x14ac:dyDescent="0.25">
      <c r="A514" t="s">
        <v>101</v>
      </c>
      <c r="B514">
        <v>10</v>
      </c>
      <c r="C514">
        <v>10</v>
      </c>
      <c r="D514">
        <v>2796.96</v>
      </c>
      <c r="E514" t="str">
        <f>"25.112"</f>
        <v>25.112</v>
      </c>
      <c r="F514" t="str">
        <f>"0.025"</f>
        <v>0.025</v>
      </c>
      <c r="G514">
        <v>10</v>
      </c>
      <c r="H514">
        <v>10</v>
      </c>
      <c r="I514">
        <v>2353.6320000000001</v>
      </c>
      <c r="J514" t="str">
        <f>"21.214"</f>
        <v>21.214</v>
      </c>
      <c r="K514" t="str">
        <f>"0.021"</f>
        <v>0.021</v>
      </c>
      <c r="L514" t="str">
        <f>"16.83%"</f>
        <v>16.83%</v>
      </c>
    </row>
    <row r="515" spans="1:12" x14ac:dyDescent="0.25">
      <c r="A515" t="s">
        <v>102</v>
      </c>
      <c r="B515">
        <v>10</v>
      </c>
      <c r="C515">
        <v>10</v>
      </c>
      <c r="D515">
        <v>26451.763999999999</v>
      </c>
      <c r="E515" t="str">
        <f>"29.833"</f>
        <v>29.833</v>
      </c>
      <c r="F515" t="str">
        <f>"0.030"</f>
        <v>0.030</v>
      </c>
      <c r="G515">
        <v>10</v>
      </c>
      <c r="H515">
        <v>10</v>
      </c>
      <c r="I515">
        <v>26230.065999999999</v>
      </c>
      <c r="J515" t="str">
        <f>"29.584"</f>
        <v>29.584</v>
      </c>
      <c r="K515" t="str">
        <f>"0.030"</f>
        <v>0.030</v>
      </c>
      <c r="L515" t="str">
        <f>"0.84%"</f>
        <v>0.84%</v>
      </c>
    </row>
    <row r="516" spans="1:12" x14ac:dyDescent="0.25">
      <c r="A516" t="s">
        <v>103</v>
      </c>
      <c r="B516">
        <v>10</v>
      </c>
      <c r="C516">
        <v>10</v>
      </c>
      <c r="D516">
        <v>24485.455000000002</v>
      </c>
      <c r="E516" t="str">
        <f>"32.689"</f>
        <v>32.689</v>
      </c>
      <c r="F516" t="str">
        <f>"0.033"</f>
        <v>0.033</v>
      </c>
      <c r="G516">
        <v>10</v>
      </c>
      <c r="H516">
        <v>10</v>
      </c>
      <c r="I516">
        <v>25037.504000000001</v>
      </c>
      <c r="J516" t="str">
        <f>"33.414"</f>
        <v>33.414</v>
      </c>
      <c r="K516" t="str">
        <f>"0.033"</f>
        <v>0.033</v>
      </c>
      <c r="L516" t="str">
        <f>"2.19%"</f>
        <v>2.19%</v>
      </c>
    </row>
    <row r="517" spans="1:12" x14ac:dyDescent="0.25">
      <c r="A517" t="s">
        <v>104</v>
      </c>
      <c r="B517">
        <v>10</v>
      </c>
      <c r="C517">
        <v>10</v>
      </c>
      <c r="D517">
        <v>14301.708000000001</v>
      </c>
      <c r="E517" t="str">
        <f>"29.830"</f>
        <v>29.830</v>
      </c>
      <c r="F517" t="str">
        <f>"0.030"</f>
        <v>0.030</v>
      </c>
      <c r="G517">
        <v>10</v>
      </c>
      <c r="H517">
        <v>10</v>
      </c>
      <c r="I517">
        <v>14539.51</v>
      </c>
      <c r="J517" t="str">
        <f>"30.328"</f>
        <v>30.328</v>
      </c>
      <c r="K517" t="str">
        <f>"0.030"</f>
        <v>0.030</v>
      </c>
      <c r="L517" t="str">
        <f>"1.65%"</f>
        <v>1.65%</v>
      </c>
    </row>
    <row r="518" spans="1:12" x14ac:dyDescent="0.25">
      <c r="A518" t="s">
        <v>57</v>
      </c>
      <c r="B518">
        <v>10</v>
      </c>
      <c r="C518">
        <v>10</v>
      </c>
      <c r="D518">
        <v>37147.703000000001</v>
      </c>
      <c r="E518" t="str">
        <f>"27.909"</f>
        <v>27.909</v>
      </c>
      <c r="F518" t="str">
        <f>"0.028"</f>
        <v>0.028</v>
      </c>
      <c r="G518">
        <v>10</v>
      </c>
      <c r="H518">
        <v>10</v>
      </c>
      <c r="I518">
        <v>36651.714999999997</v>
      </c>
      <c r="J518" t="str">
        <f>"27.541"</f>
        <v>27.541</v>
      </c>
      <c r="K518" t="str">
        <f>"0.028"</f>
        <v>0.028</v>
      </c>
      <c r="L518" t="str">
        <f>"1.33%"</f>
        <v>1.33%</v>
      </c>
    </row>
    <row r="519" spans="1:12" x14ac:dyDescent="0.25">
      <c r="A519" t="s">
        <v>105</v>
      </c>
      <c r="B519">
        <v>10</v>
      </c>
      <c r="C519">
        <v>10</v>
      </c>
      <c r="D519">
        <v>16106.089</v>
      </c>
      <c r="E519" t="str">
        <f>"31.658"</f>
        <v>31.658</v>
      </c>
      <c r="F519" t="str">
        <f>"0.032"</f>
        <v>0.032</v>
      </c>
      <c r="G519">
        <v>10</v>
      </c>
      <c r="H519">
        <v>10</v>
      </c>
      <c r="I519">
        <v>16016.748</v>
      </c>
      <c r="J519" t="str">
        <f>"31.478"</f>
        <v>31.478</v>
      </c>
      <c r="K519" t="str">
        <f>"0.031"</f>
        <v>0.031</v>
      </c>
      <c r="L519" t="str">
        <f>"0.57%"</f>
        <v>0.57%</v>
      </c>
    </row>
    <row r="520" spans="1:12" x14ac:dyDescent="0.25">
      <c r="A520" t="s">
        <v>106</v>
      </c>
      <c r="B520">
        <v>10</v>
      </c>
      <c r="C520">
        <v>10</v>
      </c>
      <c r="D520">
        <v>40283.538999999997</v>
      </c>
      <c r="E520" t="str">
        <f>"29.922"</f>
        <v>29.922</v>
      </c>
      <c r="F520" t="str">
        <f>"0.030"</f>
        <v>0.030</v>
      </c>
      <c r="G520">
        <v>10</v>
      </c>
      <c r="H520">
        <v>10</v>
      </c>
      <c r="I520">
        <v>40627.101999999999</v>
      </c>
      <c r="J520" t="str">
        <f>"30.182"</f>
        <v>30.182</v>
      </c>
      <c r="K520" t="str">
        <f>"0.030"</f>
        <v>0.030</v>
      </c>
      <c r="L520" t="str">
        <f>"0.87%"</f>
        <v>0.87%</v>
      </c>
    </row>
    <row r="521" spans="1:12" x14ac:dyDescent="0.25">
      <c r="A521" t="s">
        <v>107</v>
      </c>
      <c r="B521">
        <v>10</v>
      </c>
      <c r="C521">
        <v>10</v>
      </c>
      <c r="D521">
        <v>71712.726999999999</v>
      </c>
      <c r="E521" t="str">
        <f>"28.333"</f>
        <v>28.333</v>
      </c>
      <c r="F521" t="str">
        <f>"0.028"</f>
        <v>0.028</v>
      </c>
      <c r="G521">
        <v>10</v>
      </c>
      <c r="H521">
        <v>10</v>
      </c>
      <c r="I521">
        <v>75225.812999999995</v>
      </c>
      <c r="J521" t="str">
        <f>"29.718"</f>
        <v>29.718</v>
      </c>
      <c r="K521" t="str">
        <f>"0.030"</f>
        <v>0.030</v>
      </c>
      <c r="L521" t="str">
        <f>"4.77%"</f>
        <v>4.77%</v>
      </c>
    </row>
    <row r="522" spans="1:12" x14ac:dyDescent="0.25">
      <c r="A522" t="s">
        <v>108</v>
      </c>
      <c r="B522">
        <v>10</v>
      </c>
      <c r="C522">
        <v>10</v>
      </c>
      <c r="D522">
        <v>64279.957000000002</v>
      </c>
      <c r="E522" t="str">
        <f>"31.209"</f>
        <v>31.209</v>
      </c>
      <c r="F522" t="str">
        <f>"0.031"</f>
        <v>0.031</v>
      </c>
      <c r="G522">
        <v>10</v>
      </c>
      <c r="H522">
        <v>10</v>
      </c>
      <c r="I522">
        <v>64988.921999999999</v>
      </c>
      <c r="J522" t="str">
        <f>"31.553"</f>
        <v>31.553</v>
      </c>
      <c r="K522" t="str">
        <f>"0.032"</f>
        <v>0.032</v>
      </c>
      <c r="L522" t="str">
        <f>"1.10%"</f>
        <v>1.10%</v>
      </c>
    </row>
    <row r="524" spans="1:12" x14ac:dyDescent="0.25">
      <c r="A524" t="s">
        <v>112</v>
      </c>
    </row>
    <row r="525" spans="1:12" x14ac:dyDescent="0.25">
      <c r="A525" t="s">
        <v>113</v>
      </c>
      <c r="B525" t="s">
        <v>114</v>
      </c>
    </row>
    <row r="526" spans="1:12" x14ac:dyDescent="0.25">
      <c r="A526" t="s">
        <v>20</v>
      </c>
      <c r="B526">
        <v>10</v>
      </c>
      <c r="C526" t="s">
        <v>115</v>
      </c>
      <c r="D526" t="s">
        <v>21</v>
      </c>
      <c r="E526">
        <v>10</v>
      </c>
      <c r="F526" t="s">
        <v>116</v>
      </c>
    </row>
    <row r="527" spans="1:12" x14ac:dyDescent="0.25">
      <c r="A527" t="s">
        <v>117</v>
      </c>
      <c r="B527" t="s">
        <v>13</v>
      </c>
      <c r="C527" t="s">
        <v>14</v>
      </c>
      <c r="D527" t="s">
        <v>27</v>
      </c>
      <c r="E527" t="s">
        <v>118</v>
      </c>
      <c r="F527" t="s">
        <v>119</v>
      </c>
    </row>
    <row r="528" spans="1:12" x14ac:dyDescent="0.25">
      <c r="A528" t="s">
        <v>24</v>
      </c>
    </row>
    <row r="530" spans="1:6" x14ac:dyDescent="0.25">
      <c r="A530" t="s">
        <v>120</v>
      </c>
    </row>
    <row r="531" spans="1:6" x14ac:dyDescent="0.25">
      <c r="A531" t="s">
        <v>20</v>
      </c>
      <c r="B531">
        <v>10</v>
      </c>
      <c r="C531" t="s">
        <v>115</v>
      </c>
      <c r="D531" t="s">
        <v>21</v>
      </c>
      <c r="E531">
        <v>10</v>
      </c>
      <c r="F531" t="s">
        <v>116</v>
      </c>
    </row>
    <row r="532" spans="1:6" x14ac:dyDescent="0.25">
      <c r="A532" t="s">
        <v>117</v>
      </c>
      <c r="B532" t="s">
        <v>13</v>
      </c>
      <c r="C532" t="s">
        <v>14</v>
      </c>
      <c r="D532" t="s">
        <v>27</v>
      </c>
      <c r="E532" t="s">
        <v>118</v>
      </c>
      <c r="F532" t="s">
        <v>119</v>
      </c>
    </row>
    <row r="533" spans="1:6" x14ac:dyDescent="0.25">
      <c r="A533" t="s">
        <v>24</v>
      </c>
    </row>
    <row r="535" spans="1:6" x14ac:dyDescent="0.25">
      <c r="A535" t="s">
        <v>121</v>
      </c>
    </row>
    <row r="536" spans="1:6" x14ac:dyDescent="0.25">
      <c r="A536" t="s">
        <v>20</v>
      </c>
      <c r="B536">
        <v>10</v>
      </c>
      <c r="C536" t="s">
        <v>115</v>
      </c>
      <c r="D536" t="s">
        <v>21</v>
      </c>
      <c r="E536">
        <v>10</v>
      </c>
      <c r="F536" t="s">
        <v>116</v>
      </c>
    </row>
    <row r="537" spans="1:6" x14ac:dyDescent="0.25">
      <c r="A537" t="s">
        <v>117</v>
      </c>
      <c r="B537" t="s">
        <v>13</v>
      </c>
      <c r="C537" t="s">
        <v>14</v>
      </c>
      <c r="D537" t="s">
        <v>27</v>
      </c>
      <c r="E537" t="s">
        <v>118</v>
      </c>
      <c r="F537" t="s">
        <v>119</v>
      </c>
    </row>
    <row r="538" spans="1:6" x14ac:dyDescent="0.25">
      <c r="A538" t="s">
        <v>24</v>
      </c>
    </row>
    <row r="540" spans="1:6" x14ac:dyDescent="0.25">
      <c r="A540" t="s">
        <v>122</v>
      </c>
    </row>
    <row r="541" spans="1:6" x14ac:dyDescent="0.25">
      <c r="A541" t="s">
        <v>20</v>
      </c>
      <c r="B541">
        <v>10</v>
      </c>
      <c r="C541" t="s">
        <v>115</v>
      </c>
      <c r="D541" t="s">
        <v>21</v>
      </c>
      <c r="E541">
        <v>10</v>
      </c>
      <c r="F541" t="s">
        <v>116</v>
      </c>
    </row>
    <row r="542" spans="1:6" x14ac:dyDescent="0.25">
      <c r="A542" t="s">
        <v>117</v>
      </c>
      <c r="B542" t="s">
        <v>13</v>
      </c>
      <c r="C542" t="s">
        <v>14</v>
      </c>
      <c r="D542" t="s">
        <v>27</v>
      </c>
      <c r="E542" t="s">
        <v>118</v>
      </c>
      <c r="F542" t="s">
        <v>119</v>
      </c>
    </row>
    <row r="543" spans="1:6" x14ac:dyDescent="0.25">
      <c r="A543" t="s">
        <v>54</v>
      </c>
      <c r="B543">
        <v>51902.976999999999</v>
      </c>
      <c r="C543" t="str">
        <f>"34.289"</f>
        <v>34.289</v>
      </c>
      <c r="D543" t="str">
        <f>"0.034"</f>
        <v>0.034</v>
      </c>
      <c r="E543" t="str">
        <f>"0.010"</f>
        <v>0.010</v>
      </c>
    </row>
    <row r="544" spans="1:6" x14ac:dyDescent="0.25">
      <c r="A544" t="s">
        <v>57</v>
      </c>
      <c r="B544">
        <v>204446.109</v>
      </c>
      <c r="C544" t="str">
        <f>"151.950"</f>
        <v>151.950</v>
      </c>
      <c r="D544" t="str">
        <f>"0.152"</f>
        <v>0.152</v>
      </c>
      <c r="E544" t="str">
        <f>"0.010"</f>
        <v>0.010</v>
      </c>
    </row>
    <row r="545" spans="1:6" x14ac:dyDescent="0.25">
      <c r="A545" t="s">
        <v>105</v>
      </c>
      <c r="B545">
        <v>144204.5</v>
      </c>
      <c r="C545" t="str">
        <f>"290.435"</f>
        <v>290.435</v>
      </c>
      <c r="D545" t="str">
        <f>"0.290"</f>
        <v>0.290</v>
      </c>
      <c r="E545" t="str">
        <f>"0.010"</f>
        <v>0.010</v>
      </c>
    </row>
    <row r="546" spans="1:6" x14ac:dyDescent="0.25">
      <c r="A546" t="s">
        <v>106</v>
      </c>
      <c r="B546">
        <v>129239.56299999999</v>
      </c>
      <c r="C546" t="str">
        <f>"97.394"</f>
        <v>97.394</v>
      </c>
      <c r="D546" t="str">
        <f>"0.097"</f>
        <v>0.097</v>
      </c>
      <c r="E546" t="str">
        <f>"0.010"</f>
        <v>0.010</v>
      </c>
    </row>
    <row r="548" spans="1:6" x14ac:dyDescent="0.25">
      <c r="A548" t="s">
        <v>123</v>
      </c>
    </row>
    <row r="549" spans="1:6" x14ac:dyDescent="0.25">
      <c r="A549" t="s">
        <v>20</v>
      </c>
      <c r="B549">
        <v>10</v>
      </c>
      <c r="C549" t="s">
        <v>115</v>
      </c>
      <c r="D549" t="s">
        <v>21</v>
      </c>
      <c r="E549">
        <v>10</v>
      </c>
      <c r="F549" t="s">
        <v>116</v>
      </c>
    </row>
    <row r="550" spans="1:6" x14ac:dyDescent="0.25">
      <c r="A550" t="s">
        <v>117</v>
      </c>
      <c r="B550" t="s">
        <v>13</v>
      </c>
      <c r="C550" t="s">
        <v>14</v>
      </c>
      <c r="D550" t="s">
        <v>27</v>
      </c>
      <c r="E550" t="s">
        <v>118</v>
      </c>
      <c r="F550" t="s">
        <v>119</v>
      </c>
    </row>
    <row r="551" spans="1:6" x14ac:dyDescent="0.25">
      <c r="A551" t="s">
        <v>24</v>
      </c>
    </row>
    <row r="553" spans="1:6" x14ac:dyDescent="0.25">
      <c r="A553" t="s">
        <v>124</v>
      </c>
    </row>
    <row r="554" spans="1:6" x14ac:dyDescent="0.25">
      <c r="A554" t="s">
        <v>20</v>
      </c>
      <c r="B554">
        <v>10</v>
      </c>
      <c r="C554" t="s">
        <v>115</v>
      </c>
      <c r="D554" t="s">
        <v>21</v>
      </c>
      <c r="E554">
        <v>10</v>
      </c>
      <c r="F554" t="s">
        <v>116</v>
      </c>
    </row>
    <row r="555" spans="1:6" x14ac:dyDescent="0.25">
      <c r="A555" t="s">
        <v>117</v>
      </c>
      <c r="B555" t="s">
        <v>13</v>
      </c>
      <c r="C555" t="s">
        <v>14</v>
      </c>
      <c r="D555" t="s">
        <v>27</v>
      </c>
      <c r="E555" t="s">
        <v>118</v>
      </c>
      <c r="F555" t="s">
        <v>119</v>
      </c>
    </row>
    <row r="556" spans="1:6" x14ac:dyDescent="0.25">
      <c r="A556" t="s">
        <v>101</v>
      </c>
      <c r="B556">
        <v>1085.2329999999999</v>
      </c>
      <c r="C556" t="str">
        <f>"10.060"</f>
        <v>10.060</v>
      </c>
      <c r="D556" t="str">
        <f>"0.010"</f>
        <v>0.010</v>
      </c>
      <c r="E556" t="str">
        <f>"0.010"</f>
        <v>0.010</v>
      </c>
    </row>
    <row r="557" spans="1:6" x14ac:dyDescent="0.25">
      <c r="A557" t="s">
        <v>103</v>
      </c>
      <c r="B557">
        <v>14856.093000000001</v>
      </c>
      <c r="C557" t="str">
        <f>"20.044"</f>
        <v>20.044</v>
      </c>
      <c r="D557" t="str">
        <f>"0.020"</f>
        <v>0.020</v>
      </c>
      <c r="E557" t="str">
        <f>"0.010"</f>
        <v>0.010</v>
      </c>
    </row>
    <row r="558" spans="1:6" x14ac:dyDescent="0.25">
      <c r="A558" t="s">
        <v>105</v>
      </c>
      <c r="B558">
        <v>6608.1980000000003</v>
      </c>
      <c r="C558" t="str">
        <f>"12.471"</f>
        <v>12.471</v>
      </c>
      <c r="D558" t="str">
        <f>"0.012"</f>
        <v>0.012</v>
      </c>
      <c r="E558" t="str">
        <f>"0.010"</f>
        <v>0.010</v>
      </c>
    </row>
    <row r="560" spans="1:6" x14ac:dyDescent="0.25">
      <c r="A560" t="s">
        <v>125</v>
      </c>
    </row>
    <row r="561" spans="1:6" x14ac:dyDescent="0.25">
      <c r="A561" t="s">
        <v>20</v>
      </c>
      <c r="B561">
        <v>10</v>
      </c>
      <c r="C561" t="s">
        <v>115</v>
      </c>
      <c r="D561" t="s">
        <v>21</v>
      </c>
      <c r="E561">
        <v>10</v>
      </c>
      <c r="F561" t="s">
        <v>116</v>
      </c>
    </row>
    <row r="562" spans="1:6" x14ac:dyDescent="0.25">
      <c r="A562" t="s">
        <v>117</v>
      </c>
      <c r="B562" t="s">
        <v>13</v>
      </c>
      <c r="C562" t="s">
        <v>14</v>
      </c>
      <c r="D562" t="s">
        <v>27</v>
      </c>
      <c r="E562" t="s">
        <v>118</v>
      </c>
      <c r="F562" t="s">
        <v>119</v>
      </c>
    </row>
    <row r="563" spans="1:6" x14ac:dyDescent="0.25">
      <c r="A563" t="s">
        <v>24</v>
      </c>
    </row>
    <row r="565" spans="1:6" x14ac:dyDescent="0.25">
      <c r="A565" t="s">
        <v>126</v>
      </c>
    </row>
    <row r="566" spans="1:6" x14ac:dyDescent="0.25">
      <c r="A566" t="s">
        <v>20</v>
      </c>
      <c r="B566">
        <v>10</v>
      </c>
      <c r="C566" t="s">
        <v>115</v>
      </c>
      <c r="D566" t="s">
        <v>21</v>
      </c>
      <c r="E566">
        <v>10</v>
      </c>
      <c r="F566" t="s">
        <v>116</v>
      </c>
    </row>
    <row r="567" spans="1:6" x14ac:dyDescent="0.25">
      <c r="A567" t="s">
        <v>117</v>
      </c>
      <c r="B567" t="s">
        <v>13</v>
      </c>
      <c r="C567" t="s">
        <v>14</v>
      </c>
      <c r="D567" t="s">
        <v>27</v>
      </c>
      <c r="E567" t="s">
        <v>118</v>
      </c>
      <c r="F567" t="s">
        <v>119</v>
      </c>
    </row>
    <row r="568" spans="1:6" x14ac:dyDescent="0.25">
      <c r="A568" t="s">
        <v>24</v>
      </c>
    </row>
    <row r="570" spans="1:6" x14ac:dyDescent="0.25">
      <c r="A570" t="s">
        <v>127</v>
      </c>
    </row>
    <row r="571" spans="1:6" x14ac:dyDescent="0.25">
      <c r="A571" t="s">
        <v>20</v>
      </c>
      <c r="B571">
        <v>10</v>
      </c>
      <c r="C571" t="s">
        <v>115</v>
      </c>
      <c r="D571" t="s">
        <v>21</v>
      </c>
      <c r="E571">
        <v>10</v>
      </c>
      <c r="F571" t="s">
        <v>116</v>
      </c>
    </row>
    <row r="572" spans="1:6" x14ac:dyDescent="0.25">
      <c r="A572" t="s">
        <v>117</v>
      </c>
      <c r="B572" t="s">
        <v>13</v>
      </c>
      <c r="C572" t="s">
        <v>14</v>
      </c>
      <c r="D572" t="s">
        <v>27</v>
      </c>
      <c r="E572" t="s">
        <v>118</v>
      </c>
      <c r="F572" t="s">
        <v>119</v>
      </c>
    </row>
    <row r="573" spans="1:6" x14ac:dyDescent="0.25">
      <c r="A573" t="s">
        <v>99</v>
      </c>
      <c r="B573">
        <v>457.95800000000003</v>
      </c>
      <c r="C573" t="str">
        <f>"0.906"</f>
        <v>0.906</v>
      </c>
      <c r="D573" t="str">
        <f>"0.001"</f>
        <v>0.001</v>
      </c>
      <c r="E573" t="str">
        <f>"0.010"</f>
        <v>0.010</v>
      </c>
    </row>
    <row r="574" spans="1:6" x14ac:dyDescent="0.25">
      <c r="A574" t="s">
        <v>100</v>
      </c>
      <c r="B574">
        <v>2270.4879999999998</v>
      </c>
      <c r="C574" t="str">
        <f>"6.593"</f>
        <v>6.593</v>
      </c>
      <c r="D574" t="str">
        <f>"0.007"</f>
        <v>0.007</v>
      </c>
      <c r="E574" t="str">
        <f>"0.010"</f>
        <v>0.010</v>
      </c>
    </row>
    <row r="575" spans="1:6" x14ac:dyDescent="0.25">
      <c r="A575" t="s">
        <v>102</v>
      </c>
      <c r="B575">
        <v>26657.791000000001</v>
      </c>
      <c r="C575" t="str">
        <f>"30.064"</f>
        <v>30.064</v>
      </c>
      <c r="D575" t="str">
        <f>"0.030"</f>
        <v>0.030</v>
      </c>
      <c r="E575" t="str">
        <f>"0.010"</f>
        <v>0.010</v>
      </c>
    </row>
    <row r="576" spans="1:6" x14ac:dyDescent="0.25">
      <c r="A576" t="s">
        <v>57</v>
      </c>
      <c r="B576">
        <v>103853.383</v>
      </c>
      <c r="C576" t="str">
        <f>"77.367"</f>
        <v>77.367</v>
      </c>
      <c r="D576" t="str">
        <f>"0.077"</f>
        <v>0.077</v>
      </c>
      <c r="E576" t="str">
        <f>"0.010"</f>
        <v>0.010</v>
      </c>
    </row>
    <row r="578" spans="1:6" x14ac:dyDescent="0.25">
      <c r="A578" t="s">
        <v>128</v>
      </c>
    </row>
    <row r="579" spans="1:6" x14ac:dyDescent="0.25">
      <c r="A579" t="s">
        <v>20</v>
      </c>
      <c r="B579">
        <v>10</v>
      </c>
      <c r="C579" t="s">
        <v>115</v>
      </c>
      <c r="D579" t="s">
        <v>21</v>
      </c>
      <c r="E579">
        <v>10</v>
      </c>
      <c r="F579" t="s">
        <v>116</v>
      </c>
    </row>
    <row r="580" spans="1:6" x14ac:dyDescent="0.25">
      <c r="A580" t="s">
        <v>117</v>
      </c>
      <c r="B580" t="s">
        <v>13</v>
      </c>
      <c r="C580" t="s">
        <v>14</v>
      </c>
      <c r="D580" t="s">
        <v>27</v>
      </c>
      <c r="E580" t="s">
        <v>118</v>
      </c>
      <c r="F580" t="s">
        <v>119</v>
      </c>
    </row>
    <row r="581" spans="1:6" x14ac:dyDescent="0.25">
      <c r="A581" t="s">
        <v>24</v>
      </c>
    </row>
    <row r="583" spans="1:6" x14ac:dyDescent="0.25">
      <c r="A583" t="s">
        <v>129</v>
      </c>
    </row>
    <row r="584" spans="1:6" x14ac:dyDescent="0.25">
      <c r="A584" t="s">
        <v>20</v>
      </c>
      <c r="B584">
        <v>10</v>
      </c>
      <c r="C584" t="s">
        <v>115</v>
      </c>
      <c r="D584" t="s">
        <v>21</v>
      </c>
      <c r="E584">
        <v>10</v>
      </c>
      <c r="F584" t="s">
        <v>116</v>
      </c>
    </row>
    <row r="585" spans="1:6" x14ac:dyDescent="0.25">
      <c r="A585" t="s">
        <v>117</v>
      </c>
      <c r="B585" t="s">
        <v>13</v>
      </c>
      <c r="C585" t="s">
        <v>14</v>
      </c>
      <c r="D585" t="s">
        <v>27</v>
      </c>
      <c r="E585" t="s">
        <v>118</v>
      </c>
      <c r="F585" t="s">
        <v>119</v>
      </c>
    </row>
    <row r="586" spans="1:6" x14ac:dyDescent="0.25">
      <c r="A586" t="s">
        <v>104</v>
      </c>
      <c r="B586">
        <v>21778.863000000001</v>
      </c>
      <c r="C586" t="str">
        <f>"45.466"</f>
        <v>45.466</v>
      </c>
      <c r="D586" t="str">
        <f>"0.045"</f>
        <v>0.045</v>
      </c>
      <c r="E586" t="str">
        <f>"0.010"</f>
        <v>0.010</v>
      </c>
    </row>
    <row r="587" spans="1:6" x14ac:dyDescent="0.25">
      <c r="A587" t="s">
        <v>107</v>
      </c>
      <c r="B587">
        <v>66037</v>
      </c>
      <c r="C587" t="str">
        <f>"26.096"</f>
        <v>26.096</v>
      </c>
      <c r="D587" t="str">
        <f>"0.026"</f>
        <v>0.026</v>
      </c>
      <c r="E587" t="str">
        <f>"0.010"</f>
        <v>0.010</v>
      </c>
    </row>
    <row r="588" spans="1:6" x14ac:dyDescent="0.25">
      <c r="A588" t="s">
        <v>108</v>
      </c>
      <c r="B588">
        <v>173223.141</v>
      </c>
      <c r="C588" t="str">
        <f>"84.181"</f>
        <v>84.181</v>
      </c>
      <c r="D588" t="str">
        <f>"0.084"</f>
        <v>0.084</v>
      </c>
      <c r="E588" t="str">
        <f>"0.010"</f>
        <v>0.010</v>
      </c>
    </row>
    <row r="591" spans="1:6" x14ac:dyDescent="0.25">
      <c r="E591" t="s">
        <v>130</v>
      </c>
    </row>
    <row r="592" spans="1:6" x14ac:dyDescent="0.25">
      <c r="A592" t="s">
        <v>131</v>
      </c>
      <c r="B592" t="s">
        <v>132</v>
      </c>
      <c r="D592" t="s">
        <v>133</v>
      </c>
    </row>
    <row r="594" spans="1:8" x14ac:dyDescent="0.25">
      <c r="A594" t="s">
        <v>134</v>
      </c>
    </row>
    <row r="595" spans="1:8" x14ac:dyDescent="0.25">
      <c r="A595" t="s">
        <v>135</v>
      </c>
      <c r="B595" t="s">
        <v>12</v>
      </c>
      <c r="C595" t="s">
        <v>13</v>
      </c>
      <c r="D595" t="s">
        <v>14</v>
      </c>
      <c r="E595" t="s">
        <v>15</v>
      </c>
    </row>
    <row r="596" spans="1:8" x14ac:dyDescent="0.25">
      <c r="A596" t="s">
        <v>57</v>
      </c>
      <c r="B596" t="str">
        <f>"30.000"</f>
        <v>30.000</v>
      </c>
      <c r="C596">
        <v>38183.413999999997</v>
      </c>
      <c r="D596" t="str">
        <f>"28.676"</f>
        <v>28.676</v>
      </c>
      <c r="E596" t="str">
        <f>"-4.41%"</f>
        <v>-4.41%</v>
      </c>
    </row>
    <row r="597" spans="1:8" x14ac:dyDescent="0.25">
      <c r="A597" t="s">
        <v>105</v>
      </c>
      <c r="B597" t="str">
        <f>"30.000"</f>
        <v>30.000</v>
      </c>
      <c r="C597">
        <v>16513.366999999998</v>
      </c>
      <c r="D597" t="str">
        <f>"32.481"</f>
        <v>32.481</v>
      </c>
      <c r="E597" t="str">
        <f>"8.27%"</f>
        <v>8.27%</v>
      </c>
    </row>
    <row r="598" spans="1:8" x14ac:dyDescent="0.25">
      <c r="A598" t="s">
        <v>106</v>
      </c>
      <c r="B598" t="str">
        <f>"30.000"</f>
        <v>30.000</v>
      </c>
      <c r="C598">
        <v>42542.641000000003</v>
      </c>
      <c r="D598" t="str">
        <f>"31.635"</f>
        <v>31.635</v>
      </c>
      <c r="E598" t="str">
        <f>"5.45%"</f>
        <v>5.45%</v>
      </c>
    </row>
    <row r="599" spans="1:8" x14ac:dyDescent="0.25">
      <c r="A599" t="s">
        <v>108</v>
      </c>
      <c r="B599" t="str">
        <f>"30.000"</f>
        <v>30.000</v>
      </c>
      <c r="C599">
        <v>65236.836000000003</v>
      </c>
      <c r="D599" t="str">
        <f>"31.674"</f>
        <v>31.674</v>
      </c>
      <c r="E599" t="str">
        <f>"5.58%"</f>
        <v>5.58%</v>
      </c>
    </row>
    <row r="600" spans="1:8" x14ac:dyDescent="0.25">
      <c r="A600" t="s">
        <v>136</v>
      </c>
      <c r="B600" t="s">
        <v>12</v>
      </c>
      <c r="C600" t="s">
        <v>13</v>
      </c>
      <c r="D600" t="s">
        <v>14</v>
      </c>
      <c r="E600" t="s">
        <v>15</v>
      </c>
    </row>
    <row r="601" spans="1:8" x14ac:dyDescent="0.25">
      <c r="A601" t="s">
        <v>57</v>
      </c>
      <c r="B601" t="str">
        <f>"30.000"</f>
        <v>30.000</v>
      </c>
      <c r="C601">
        <v>39022.237999999998</v>
      </c>
      <c r="D601" t="str">
        <f>"29.298"</f>
        <v>29.298</v>
      </c>
      <c r="E601" t="str">
        <f>"-2.34%"</f>
        <v>-2.34%</v>
      </c>
    </row>
    <row r="602" spans="1:8" x14ac:dyDescent="0.25">
      <c r="A602" t="s">
        <v>105</v>
      </c>
      <c r="B602" t="str">
        <f>"30.000"</f>
        <v>30.000</v>
      </c>
      <c r="C602">
        <v>17192.32</v>
      </c>
      <c r="D602" t="str">
        <f>"33.853"</f>
        <v>33.853</v>
      </c>
      <c r="E602" t="str">
        <f>"12.84%"</f>
        <v>12.84%</v>
      </c>
    </row>
    <row r="603" spans="1:8" x14ac:dyDescent="0.25">
      <c r="A603" t="s">
        <v>106</v>
      </c>
      <c r="B603" t="str">
        <f>"30.000"</f>
        <v>30.000</v>
      </c>
      <c r="C603">
        <v>44465.031000000003</v>
      </c>
      <c r="D603" t="str">
        <f>"33.093"</f>
        <v>33.093</v>
      </c>
      <c r="E603" t="str">
        <f>"10.31%"</f>
        <v>10.31%</v>
      </c>
    </row>
    <row r="604" spans="1:8" x14ac:dyDescent="0.25">
      <c r="A604" t="s">
        <v>108</v>
      </c>
      <c r="B604" t="str">
        <f>"30.000"</f>
        <v>30.000</v>
      </c>
      <c r="C604">
        <v>67923.914000000004</v>
      </c>
      <c r="D604" t="str">
        <f>"32.981"</f>
        <v>32.981</v>
      </c>
      <c r="E604" t="str">
        <f>"9.94%"</f>
        <v>9.94%</v>
      </c>
    </row>
    <row r="606" spans="1:8" x14ac:dyDescent="0.25">
      <c r="A606" t="s">
        <v>137</v>
      </c>
    </row>
    <row r="607" spans="1:8" x14ac:dyDescent="0.25">
      <c r="A607" t="s">
        <v>18</v>
      </c>
      <c r="B607" t="s">
        <v>19</v>
      </c>
      <c r="C607" t="s">
        <v>20</v>
      </c>
      <c r="D607" t="s">
        <v>21</v>
      </c>
      <c r="E607" t="s">
        <v>13</v>
      </c>
      <c r="F607" t="s">
        <v>22</v>
      </c>
      <c r="G607" t="s">
        <v>23</v>
      </c>
      <c r="H607" t="s">
        <v>65</v>
      </c>
    </row>
    <row r="608" spans="1:8" x14ac:dyDescent="0.25">
      <c r="A608" t="s">
        <v>57</v>
      </c>
      <c r="C608">
        <v>10</v>
      </c>
      <c r="D608">
        <v>10</v>
      </c>
      <c r="E608" t="s">
        <v>67</v>
      </c>
      <c r="F608" t="s">
        <v>67</v>
      </c>
      <c r="G608" t="s">
        <v>67</v>
      </c>
      <c r="H608">
        <v>0.01</v>
      </c>
    </row>
    <row r="609" spans="1:12" x14ac:dyDescent="0.25">
      <c r="A609" t="s">
        <v>105</v>
      </c>
      <c r="C609">
        <v>10</v>
      </c>
      <c r="D609">
        <v>10</v>
      </c>
      <c r="E609" t="s">
        <v>67</v>
      </c>
      <c r="F609" t="s">
        <v>67</v>
      </c>
      <c r="G609" t="s">
        <v>67</v>
      </c>
      <c r="H609">
        <v>0.01</v>
      </c>
    </row>
    <row r="610" spans="1:12" x14ac:dyDescent="0.25">
      <c r="A610" t="s">
        <v>106</v>
      </c>
      <c r="C610">
        <v>10</v>
      </c>
      <c r="D610">
        <v>10</v>
      </c>
      <c r="E610" t="s">
        <v>67</v>
      </c>
      <c r="F610" t="s">
        <v>67</v>
      </c>
      <c r="G610" t="s">
        <v>67</v>
      </c>
      <c r="H610">
        <v>0.01</v>
      </c>
    </row>
    <row r="611" spans="1:12" x14ac:dyDescent="0.25">
      <c r="A611" t="s">
        <v>108</v>
      </c>
      <c r="C611">
        <v>10</v>
      </c>
      <c r="D611">
        <v>10</v>
      </c>
      <c r="E611" t="s">
        <v>67</v>
      </c>
      <c r="F611" t="s">
        <v>67</v>
      </c>
      <c r="G611" t="s">
        <v>67</v>
      </c>
      <c r="H611">
        <v>0.01</v>
      </c>
    </row>
    <row r="612" spans="1:12" x14ac:dyDescent="0.25">
      <c r="A612" t="s">
        <v>68</v>
      </c>
    </row>
    <row r="614" spans="1:12" x14ac:dyDescent="0.25">
      <c r="A614" t="s">
        <v>138</v>
      </c>
    </row>
    <row r="615" spans="1:12" x14ac:dyDescent="0.25">
      <c r="A615" t="s">
        <v>70</v>
      </c>
      <c r="B615" t="s">
        <v>25</v>
      </c>
      <c r="C615" t="s">
        <v>26</v>
      </c>
      <c r="D615" t="s">
        <v>13</v>
      </c>
      <c r="E615" t="s">
        <v>14</v>
      </c>
      <c r="F615" t="s">
        <v>27</v>
      </c>
      <c r="G615" t="s">
        <v>28</v>
      </c>
      <c r="H615" t="s">
        <v>29</v>
      </c>
    </row>
    <row r="616" spans="1:12" x14ac:dyDescent="0.25">
      <c r="A616" t="s">
        <v>57</v>
      </c>
      <c r="B616">
        <v>10</v>
      </c>
      <c r="C616">
        <v>10</v>
      </c>
      <c r="D616">
        <v>39233.438000000002</v>
      </c>
      <c r="E616" t="str">
        <f>"29.455"</f>
        <v>29.455</v>
      </c>
      <c r="F616" t="str">
        <f>"0.029"</f>
        <v>0.029</v>
      </c>
      <c r="G616">
        <v>0.03</v>
      </c>
      <c r="H616" t="str">
        <f>"98.18%"</f>
        <v>98.18%</v>
      </c>
    </row>
    <row r="617" spans="1:12" x14ac:dyDescent="0.25">
      <c r="A617" t="s">
        <v>105</v>
      </c>
      <c r="B617">
        <v>10</v>
      </c>
      <c r="C617">
        <v>10</v>
      </c>
      <c r="D617">
        <v>16662.657999999999</v>
      </c>
      <c r="E617" t="str">
        <f>"32.783"</f>
        <v>32.783</v>
      </c>
      <c r="F617" t="str">
        <f>"0.033"</f>
        <v>0.033</v>
      </c>
      <c r="G617">
        <v>0.03</v>
      </c>
      <c r="H617" t="str">
        <f>"109.28%"</f>
        <v>109.28%</v>
      </c>
    </row>
    <row r="618" spans="1:12" x14ac:dyDescent="0.25">
      <c r="A618" t="s">
        <v>106</v>
      </c>
      <c r="B618">
        <v>10</v>
      </c>
      <c r="C618">
        <v>10</v>
      </c>
      <c r="D618">
        <v>43487.785000000003</v>
      </c>
      <c r="E618" t="str">
        <f>"32.352"</f>
        <v>32.352</v>
      </c>
      <c r="F618" t="str">
        <f>"0.032"</f>
        <v>0.032</v>
      </c>
      <c r="G618">
        <v>0.03</v>
      </c>
      <c r="H618" t="str">
        <f>"107.84%"</f>
        <v>107.84%</v>
      </c>
    </row>
    <row r="619" spans="1:12" x14ac:dyDescent="0.25">
      <c r="A619" t="s">
        <v>108</v>
      </c>
      <c r="B619">
        <v>10</v>
      </c>
      <c r="C619">
        <v>10</v>
      </c>
      <c r="D619">
        <v>67275.875</v>
      </c>
      <c r="E619" t="str">
        <f>"32.665"</f>
        <v>32.665</v>
      </c>
      <c r="F619" t="str">
        <f>"0.033"</f>
        <v>0.033</v>
      </c>
      <c r="G619">
        <v>0.03</v>
      </c>
      <c r="H619" t="str">
        <f>"108.88%"</f>
        <v>108.88%</v>
      </c>
    </row>
    <row r="621" spans="1:12" x14ac:dyDescent="0.25">
      <c r="A621" t="s">
        <v>144</v>
      </c>
    </row>
    <row r="622" spans="1:12" x14ac:dyDescent="0.25">
      <c r="A622" t="s">
        <v>18</v>
      </c>
      <c r="B622" t="s">
        <v>72</v>
      </c>
      <c r="G622" t="s">
        <v>73</v>
      </c>
      <c r="L622" t="s">
        <v>74</v>
      </c>
    </row>
    <row r="623" spans="1:12" x14ac:dyDescent="0.25">
      <c r="B623" t="s">
        <v>25</v>
      </c>
      <c r="C623" t="s">
        <v>26</v>
      </c>
      <c r="D623" t="s">
        <v>13</v>
      </c>
      <c r="E623" t="s">
        <v>14</v>
      </c>
      <c r="F623" t="s">
        <v>27</v>
      </c>
      <c r="G623" t="s">
        <v>25</v>
      </c>
      <c r="H623" t="s">
        <v>26</v>
      </c>
      <c r="I623" t="s">
        <v>13</v>
      </c>
      <c r="J623" t="s">
        <v>14</v>
      </c>
      <c r="K623" t="s">
        <v>27</v>
      </c>
    </row>
    <row r="624" spans="1:12" x14ac:dyDescent="0.25">
      <c r="A624" t="s">
        <v>57</v>
      </c>
      <c r="B624">
        <v>10</v>
      </c>
      <c r="C624">
        <v>10</v>
      </c>
      <c r="D624">
        <v>39233.438000000002</v>
      </c>
      <c r="E624" t="str">
        <f>"29.455"</f>
        <v>29.455</v>
      </c>
      <c r="F624" t="str">
        <f>"0.029"</f>
        <v>0.029</v>
      </c>
      <c r="G624">
        <v>10</v>
      </c>
      <c r="H624">
        <v>10</v>
      </c>
      <c r="I624">
        <v>39094.813000000002</v>
      </c>
      <c r="J624" t="str">
        <f>"29.352"</f>
        <v>29.352</v>
      </c>
      <c r="K624" t="str">
        <f>"0.029"</f>
        <v>0.029</v>
      </c>
      <c r="L624" t="str">
        <f>"0.35%"</f>
        <v>0.35%</v>
      </c>
    </row>
    <row r="625" spans="1:12" x14ac:dyDescent="0.25">
      <c r="A625" t="s">
        <v>105</v>
      </c>
      <c r="B625">
        <v>10</v>
      </c>
      <c r="C625">
        <v>10</v>
      </c>
      <c r="D625">
        <v>16662.657999999999</v>
      </c>
      <c r="E625" t="str">
        <f>"32.783"</f>
        <v>32.783</v>
      </c>
      <c r="F625" t="str">
        <f>"0.033"</f>
        <v>0.033</v>
      </c>
      <c r="G625">
        <v>10</v>
      </c>
      <c r="H625">
        <v>10</v>
      </c>
      <c r="I625">
        <v>17493.697</v>
      </c>
      <c r="J625" t="str">
        <f>"34.461"</f>
        <v>34.461</v>
      </c>
      <c r="K625" t="str">
        <f>"0.034"</f>
        <v>0.034</v>
      </c>
      <c r="L625" t="str">
        <f>"4.99%"</f>
        <v>4.99%</v>
      </c>
    </row>
    <row r="626" spans="1:12" x14ac:dyDescent="0.25">
      <c r="A626" t="s">
        <v>106</v>
      </c>
      <c r="B626">
        <v>10</v>
      </c>
      <c r="C626">
        <v>10</v>
      </c>
      <c r="D626">
        <v>43487.785000000003</v>
      </c>
      <c r="E626" t="str">
        <f>"32.352"</f>
        <v>32.352</v>
      </c>
      <c r="F626" t="str">
        <f>"0.032"</f>
        <v>0.032</v>
      </c>
      <c r="G626">
        <v>10</v>
      </c>
      <c r="H626">
        <v>10</v>
      </c>
      <c r="I626">
        <v>45316.516000000003</v>
      </c>
      <c r="J626" t="str">
        <f>"33.739"</f>
        <v>33.739</v>
      </c>
      <c r="K626" t="str">
        <f>"0.034"</f>
        <v>0.034</v>
      </c>
      <c r="L626" t="str">
        <f>"4.20%"</f>
        <v>4.20%</v>
      </c>
    </row>
    <row r="627" spans="1:12" x14ac:dyDescent="0.25">
      <c r="A627" t="s">
        <v>108</v>
      </c>
      <c r="B627">
        <v>10</v>
      </c>
      <c r="C627">
        <v>10</v>
      </c>
      <c r="D627">
        <v>67275.875</v>
      </c>
      <c r="E627" t="str">
        <f>"32.665"</f>
        <v>32.665</v>
      </c>
      <c r="F627" t="str">
        <f>"0.033"</f>
        <v>0.033</v>
      </c>
      <c r="G627">
        <v>10</v>
      </c>
      <c r="H627">
        <v>10</v>
      </c>
      <c r="I627">
        <v>70103.304999999993</v>
      </c>
      <c r="J627" t="str">
        <f>"34.040"</f>
        <v>34.040</v>
      </c>
      <c r="K627" t="str">
        <f>"0.034"</f>
        <v>0.034</v>
      </c>
      <c r="L627" t="str">
        <f>"4.12%"</f>
        <v>4.12%</v>
      </c>
    </row>
    <row r="629" spans="1:12" x14ac:dyDescent="0.25">
      <c r="A629" t="s">
        <v>145</v>
      </c>
    </row>
    <row r="630" spans="1:12" x14ac:dyDescent="0.25">
      <c r="A630" t="s">
        <v>139</v>
      </c>
    </row>
    <row r="631" spans="1:12" x14ac:dyDescent="0.25">
      <c r="A631" t="s">
        <v>20</v>
      </c>
      <c r="B631">
        <v>10</v>
      </c>
      <c r="C631" t="s">
        <v>115</v>
      </c>
      <c r="D631" t="s">
        <v>21</v>
      </c>
      <c r="F631">
        <v>10</v>
      </c>
      <c r="G631" t="s">
        <v>116</v>
      </c>
    </row>
    <row r="632" spans="1:12" x14ac:dyDescent="0.25">
      <c r="A632" t="s">
        <v>117</v>
      </c>
      <c r="B632" t="s">
        <v>140</v>
      </c>
      <c r="C632" t="s">
        <v>13</v>
      </c>
      <c r="D632" t="s">
        <v>14</v>
      </c>
      <c r="E632" t="s">
        <v>27</v>
      </c>
      <c r="F632" t="s">
        <v>118</v>
      </c>
      <c r="G632" t="s">
        <v>119</v>
      </c>
    </row>
    <row r="633" spans="1:12" x14ac:dyDescent="0.25">
      <c r="A633" t="s">
        <v>57</v>
      </c>
      <c r="B633">
        <v>2</v>
      </c>
      <c r="C633">
        <v>94977.804999999993</v>
      </c>
      <c r="D633" t="str">
        <f>"141.572"</f>
        <v>141.572</v>
      </c>
      <c r="E633" t="str">
        <f>"0.142"</f>
        <v>0.142</v>
      </c>
      <c r="F633" t="str">
        <f>"0.010"</f>
        <v>0.010</v>
      </c>
    </row>
    <row r="634" spans="1:12" x14ac:dyDescent="0.25">
      <c r="A634" t="s">
        <v>105</v>
      </c>
      <c r="B634">
        <v>2</v>
      </c>
      <c r="C634">
        <v>77410.414000000004</v>
      </c>
      <c r="D634" t="str">
        <f>"311.003"</f>
        <v>311.003</v>
      </c>
      <c r="E634" t="str">
        <f>"0.311"</f>
        <v>0.311</v>
      </c>
      <c r="F634" t="str">
        <f>"0.010"</f>
        <v>0.010</v>
      </c>
    </row>
    <row r="635" spans="1:12" x14ac:dyDescent="0.25">
      <c r="A635" t="s">
        <v>106</v>
      </c>
      <c r="B635">
        <v>2</v>
      </c>
      <c r="C635">
        <v>68358.023000000001</v>
      </c>
      <c r="D635" t="str">
        <f>"102.431"</f>
        <v>102.431</v>
      </c>
      <c r="E635" t="str">
        <f>"0.102"</f>
        <v>0.102</v>
      </c>
      <c r="F635" t="str">
        <f>"0.010"</f>
        <v>0.010</v>
      </c>
    </row>
    <row r="637" spans="1:12" x14ac:dyDescent="0.25">
      <c r="A637" t="s">
        <v>141</v>
      </c>
    </row>
    <row r="638" spans="1:12" x14ac:dyDescent="0.25">
      <c r="A638" t="s">
        <v>20</v>
      </c>
      <c r="B638">
        <v>10</v>
      </c>
      <c r="C638" t="s">
        <v>115</v>
      </c>
      <c r="D638" t="s">
        <v>21</v>
      </c>
      <c r="F638">
        <v>10</v>
      </c>
      <c r="G638" t="s">
        <v>116</v>
      </c>
    </row>
    <row r="639" spans="1:12" x14ac:dyDescent="0.25">
      <c r="A639" t="s">
        <v>117</v>
      </c>
      <c r="B639" t="s">
        <v>140</v>
      </c>
      <c r="C639" t="s">
        <v>13</v>
      </c>
      <c r="D639" t="s">
        <v>14</v>
      </c>
      <c r="E639" t="s">
        <v>27</v>
      </c>
      <c r="F639" t="s">
        <v>118</v>
      </c>
      <c r="G639" t="s">
        <v>119</v>
      </c>
    </row>
    <row r="640" spans="1:12" x14ac:dyDescent="0.25">
      <c r="A640" t="s">
        <v>57</v>
      </c>
      <c r="B640">
        <v>5</v>
      </c>
      <c r="C640">
        <v>34936.938000000002</v>
      </c>
      <c r="D640" t="str">
        <f>"131.347"</f>
        <v>131.347</v>
      </c>
      <c r="E640" t="str">
        <f>"0.131"</f>
        <v>0.131</v>
      </c>
      <c r="F640" t="str">
        <f>"0.010"</f>
        <v>0.010</v>
      </c>
    </row>
    <row r="641" spans="1:7" x14ac:dyDescent="0.25">
      <c r="A641" t="s">
        <v>105</v>
      </c>
      <c r="B641">
        <v>5</v>
      </c>
      <c r="C641">
        <v>32098.447</v>
      </c>
      <c r="D641" t="str">
        <f>"319.825"</f>
        <v>319.825</v>
      </c>
      <c r="E641" t="str">
        <f>"0.320"</f>
        <v>0.320</v>
      </c>
      <c r="F641" t="str">
        <f>"0.010"</f>
        <v>0.010</v>
      </c>
    </row>
    <row r="642" spans="1:7" x14ac:dyDescent="0.25">
      <c r="A642" t="s">
        <v>106</v>
      </c>
      <c r="B642">
        <v>5</v>
      </c>
      <c r="C642">
        <v>28261.844000000001</v>
      </c>
      <c r="D642" t="str">
        <f>"104.016"</f>
        <v>104.016</v>
      </c>
      <c r="E642" t="str">
        <f>"0.104"</f>
        <v>0.104</v>
      </c>
      <c r="F642" t="str">
        <f>"0.010"</f>
        <v>0.010</v>
      </c>
    </row>
    <row r="644" spans="1:7" x14ac:dyDescent="0.25">
      <c r="A644" t="s">
        <v>142</v>
      </c>
    </row>
    <row r="645" spans="1:7" x14ac:dyDescent="0.25">
      <c r="A645" t="s">
        <v>20</v>
      </c>
      <c r="B645">
        <v>10</v>
      </c>
      <c r="C645" t="s">
        <v>115</v>
      </c>
      <c r="D645" t="s">
        <v>21</v>
      </c>
      <c r="F645">
        <v>10</v>
      </c>
      <c r="G645" t="s">
        <v>116</v>
      </c>
    </row>
    <row r="646" spans="1:7" x14ac:dyDescent="0.25">
      <c r="A646" t="s">
        <v>117</v>
      </c>
      <c r="B646" t="s">
        <v>140</v>
      </c>
      <c r="C646" t="s">
        <v>13</v>
      </c>
      <c r="D646" t="s">
        <v>14</v>
      </c>
      <c r="E646" t="s">
        <v>27</v>
      </c>
      <c r="F646" t="s">
        <v>118</v>
      </c>
      <c r="G646" t="s">
        <v>119</v>
      </c>
    </row>
    <row r="647" spans="1:7" x14ac:dyDescent="0.25">
      <c r="A647" t="s">
        <v>57</v>
      </c>
      <c r="B647">
        <v>10</v>
      </c>
      <c r="C647">
        <v>7994.527</v>
      </c>
      <c r="D647" t="str">
        <f>"62.932"</f>
        <v>62.932</v>
      </c>
      <c r="E647" t="str">
        <f>"0.063"</f>
        <v>0.063</v>
      </c>
      <c r="F647" t="str">
        <f>"0.010"</f>
        <v>0.010</v>
      </c>
    </row>
    <row r="648" spans="1:7" x14ac:dyDescent="0.25">
      <c r="A648" t="s">
        <v>105</v>
      </c>
      <c r="B648">
        <v>10</v>
      </c>
      <c r="C648">
        <v>7901.4970000000003</v>
      </c>
      <c r="D648" t="str">
        <f>"150.838"</f>
        <v>150.838</v>
      </c>
      <c r="E648" t="str">
        <f>"0.151"</f>
        <v>0.151</v>
      </c>
      <c r="F648" t="str">
        <f>"0.010"</f>
        <v>0.010</v>
      </c>
    </row>
    <row r="649" spans="1:7" x14ac:dyDescent="0.25">
      <c r="A649" t="s">
        <v>106</v>
      </c>
      <c r="B649">
        <v>10</v>
      </c>
      <c r="C649">
        <v>6878.2969999999996</v>
      </c>
      <c r="D649" t="str">
        <f>"45.841"</f>
        <v>45.841</v>
      </c>
      <c r="E649" t="str">
        <f>"0.046"</f>
        <v>0.046</v>
      </c>
      <c r="F649" t="str">
        <f>"0.010"</f>
        <v>0.010</v>
      </c>
    </row>
    <row r="651" spans="1:7" x14ac:dyDescent="0.25">
      <c r="A651" t="s">
        <v>143</v>
      </c>
    </row>
    <row r="652" spans="1:7" x14ac:dyDescent="0.25">
      <c r="A652" t="s">
        <v>20</v>
      </c>
      <c r="B652">
        <v>10.02</v>
      </c>
      <c r="C652" t="s">
        <v>115</v>
      </c>
      <c r="D652" t="s">
        <v>21</v>
      </c>
      <c r="F652">
        <v>10</v>
      </c>
      <c r="G652" t="s">
        <v>116</v>
      </c>
    </row>
    <row r="653" spans="1:7" x14ac:dyDescent="0.25">
      <c r="A653" t="s">
        <v>117</v>
      </c>
      <c r="B653" t="s">
        <v>140</v>
      </c>
      <c r="C653" t="s">
        <v>13</v>
      </c>
      <c r="D653" t="s">
        <v>14</v>
      </c>
      <c r="E653" t="s">
        <v>27</v>
      </c>
      <c r="F653" t="s">
        <v>118</v>
      </c>
      <c r="G653" t="s">
        <v>119</v>
      </c>
    </row>
    <row r="654" spans="1:7" x14ac:dyDescent="0.25">
      <c r="A654" t="s">
        <v>108</v>
      </c>
      <c r="B654">
        <v>2</v>
      </c>
      <c r="C654">
        <v>92942.266000000003</v>
      </c>
      <c r="D654" t="str">
        <f>"90.291"</f>
        <v>90.291</v>
      </c>
      <c r="E654" t="str">
        <f>"0.090"</f>
        <v>0.090</v>
      </c>
      <c r="F654" t="str">
        <f>"0.010"</f>
        <v>0.010</v>
      </c>
    </row>
    <row r="657" spans="1:5" x14ac:dyDescent="0.25">
      <c r="E657" t="s">
        <v>130</v>
      </c>
    </row>
    <row r="658" spans="1:5" x14ac:dyDescent="0.25">
      <c r="A658" t="s">
        <v>131</v>
      </c>
      <c r="B658" t="s">
        <v>132</v>
      </c>
      <c r="D658" t="s">
        <v>133</v>
      </c>
    </row>
  </sheetData>
  <phoneticPr fontId="1" type="noConversion"/>
  <pageMargins left="0.7" right="0.7" top="0.75" bottom="0.75" header="0.3" footer="0.3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3">
          <controlPr defaultSize="0" autoLine="0" r:id="rId5">
            <anchor moveWithCells="1">
              <from>
                <xdr:col>12</xdr:col>
                <xdr:colOff>304800</xdr:colOff>
                <xdr:row>7</xdr:row>
                <xdr:rowOff>114300</xdr:rowOff>
              </from>
              <to>
                <xdr:col>12</xdr:col>
                <xdr:colOff>1352550</xdr:colOff>
                <xdr:row>9</xdr:row>
                <xdr:rowOff>95250</xdr:rowOff>
              </to>
            </anchor>
          </controlPr>
        </control>
      </mc:Choice>
      <mc:Fallback>
        <control shapeId="1029" r:id="rId4" name="CommandButton3"/>
      </mc:Fallback>
    </mc:AlternateContent>
    <mc:AlternateContent xmlns:mc="http://schemas.openxmlformats.org/markup-compatibility/2006">
      <mc:Choice Requires="x14">
        <control shapeId="1028" r:id="rId6" name="CommandButton2">
          <controlPr defaultSize="0" autoLine="0" r:id="rId7">
            <anchor moveWithCells="1">
              <from>
                <xdr:col>12</xdr:col>
                <xdr:colOff>304800</xdr:colOff>
                <xdr:row>2</xdr:row>
                <xdr:rowOff>142875</xdr:rowOff>
              </from>
              <to>
                <xdr:col>12</xdr:col>
                <xdr:colOff>1352550</xdr:colOff>
                <xdr:row>4</xdr:row>
                <xdr:rowOff>123825</xdr:rowOff>
              </to>
            </anchor>
          </controlPr>
        </control>
      </mc:Choice>
      <mc:Fallback>
        <control shapeId="1028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12</xdr:col>
                <xdr:colOff>304800</xdr:colOff>
                <xdr:row>0</xdr:row>
                <xdr:rowOff>57150</xdr:rowOff>
              </from>
              <to>
                <xdr:col>12</xdr:col>
                <xdr:colOff>1352550</xdr:colOff>
                <xdr:row>2</xdr:row>
                <xdr:rowOff>38100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30" r:id="rId10" name="CommandButton4">
          <controlPr defaultSize="0" autoLine="0" r:id="rId11">
            <anchor moveWithCells="1">
              <from>
                <xdr:col>12</xdr:col>
                <xdr:colOff>304800</xdr:colOff>
                <xdr:row>5</xdr:row>
                <xdr:rowOff>28575</xdr:rowOff>
              </from>
              <to>
                <xdr:col>12</xdr:col>
                <xdr:colOff>1352550</xdr:colOff>
                <xdr:row>7</xdr:row>
                <xdr:rowOff>9525</xdr:rowOff>
              </to>
            </anchor>
          </controlPr>
        </control>
      </mc:Choice>
      <mc:Fallback>
        <control shapeId="1030" r:id="rId10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檢量線</vt:lpstr>
      <vt:lpstr>檢量線!Print_Area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DGG10</dc:creator>
  <cp:lastModifiedBy>振銓 朱</cp:lastModifiedBy>
  <cp:lastPrinted>2024-08-23T14:49:03Z</cp:lastPrinted>
  <dcterms:created xsi:type="dcterms:W3CDTF">2022-08-06T09:16:03Z</dcterms:created>
  <dcterms:modified xsi:type="dcterms:W3CDTF">2024-08-25T12:33:41Z</dcterms:modified>
</cp:coreProperties>
</file>